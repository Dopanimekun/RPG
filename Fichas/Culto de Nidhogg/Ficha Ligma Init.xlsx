
<file path=[Content_Types].xml><?xml version="1.0" encoding="utf-8"?>
<Types xmlns="http://schemas.openxmlformats.org/package/2006/content-types">
  <Default Extension="vml" ContentType="application/vnd.openxmlformats-officedocument.vmlDrawi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sharedStrings.xml" ContentType="application/vnd.openxmlformats-officedocument.spreadsheetml.sharedStrings+xml"/>
  <Override PartName="/xl/styles.xml" ContentType="application/vnd.openxmlformats-officedocument.spreadsheetml.style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8800" windowHeight="12315"/>
  </bookViews>
  <sheets>
    <sheet name="Ligma" sheetId="1" r:id="rId1"/>
    <sheet name="Poderes" sheetId="9" r:id="rId2"/>
    <sheet name="Testes" sheetId="5" state="hidden" r:id="rId3"/>
    <sheet name="Livro de Fórmulas" sheetId="6" r:id="rId4"/>
    <sheet name="Inventário" sheetId="2" r:id="rId5"/>
    <sheet name="Perícias" sheetId="3" r:id="rId6"/>
    <sheet name="Perícias (Cópia)" sheetId="8" state="hidden" r:id="rId7"/>
    <sheet name="uns dados aí" sheetId="4" r:id="rId8"/>
  </sheets>
  <calcPr calcId="144525"/>
</workbook>
</file>

<file path=xl/comments1.xml><?xml version="1.0" encoding="utf-8"?>
<comments xmlns="http://schemas.openxmlformats.org/spreadsheetml/2006/main">
  <authors>
    <author/>
    <author>Luciano Segundo</author>
  </authors>
  <commentList>
    <comment ref="L4" authorId="0">
      <text>
        <r>
          <rPr>
            <sz val="10"/>
            <color rgb="FF000000"/>
            <rFont val="Aptos Narrow"/>
            <scheme val="minor"/>
            <charset val="0"/>
          </rPr>
          <t>Seu deslocamento é 12m (em vez de 9m).</t>
        </r>
      </text>
    </comment>
    <comment ref="L5" authorId="0">
      <text>
        <r>
          <rPr>
            <sz val="10"/>
            <color rgb="FF000000"/>
            <rFont val="Aptos Narrow"/>
            <scheme val="minor"/>
            <charset val="0"/>
          </rPr>
          <t>Você
recebe visão na penumbra e +2 em
Misticismo e Percepção.</t>
        </r>
      </text>
    </comment>
    <comment ref="L6" authorId="0">
      <text>
        <r>
          <rPr>
            <sz val="10"/>
            <color rgb="FF000000"/>
            <rFont val="Aptos Narrow"/>
            <scheme val="minor"/>
            <charset val="0"/>
          </rPr>
          <t xml:space="preserve">Você recebe
+1 ponto de mana por nível.
</t>
        </r>
      </text>
    </comment>
    <comment ref="L7" authorId="1">
      <text>
        <r>
          <rPr>
            <b/>
            <sz val="9"/>
            <rFont val="Segoe UI"/>
            <charset val="134"/>
          </rPr>
          <t>Luciano Segundo:</t>
        </r>
        <r>
          <rPr>
            <sz val="9"/>
            <rFont val="Segoe UI"/>
            <charset val="134"/>
          </rPr>
          <t xml:space="preserve">
Poder de Origem
A primeira criatura inteligente (Int 3 ou mais)
que atacar você em uma cena deve fazer um teste de
Vontade (CD Car). Se falhar, perderá sua ação. Este
poder só funciona uma vez por cena; independentemente de a criatura falhar ou não no teste, poderá
atacá-lo nas rodadas seguintes. Pré-requisito: Car 13.
</t>
        </r>
      </text>
    </comment>
    <comment ref="L8" authorId="1">
      <text>
        <r>
          <rPr>
            <b/>
            <sz val="9"/>
            <rFont val="Segoe UI"/>
            <charset val="134"/>
          </rPr>
          <t>Luciano Segundo:</t>
        </r>
        <r>
          <rPr>
            <sz val="9"/>
            <rFont val="Segoe UI"/>
            <charset val="134"/>
          </rPr>
          <t xml:space="preserve">
Poder Concedido (Tanna-Toh)
Você está sempre sob efeito de Compreensão (Universal I)
------------------------------------------------------------------------
Essa magia lhe confere compreensão
sobrenatural. Você pode tocar um texto e entender as palavras mesmo que
não conheça o idioma. Se tocar numa
criatura inteligente, pode se comunicar
com ela mesmo que não tenham um
idioma em comum. Se tocar uma criatura não inteligente, como um animal,
pode perceber seus sentimentos.
Você também pode gastar uma ação de
movimento para ouvir os pensamentos
de uma criatura tocada (você “ouve”
o que o alvo está pensando), mas um
alvo involuntário tem direito a um teste de Vontade para proteger seus pensamentos e evitar este efeito.</t>
        </r>
      </text>
    </comment>
  </commentList>
</comments>
</file>

<file path=xl/sharedStrings.xml><?xml version="1.0" encoding="utf-8"?>
<sst xmlns="http://schemas.openxmlformats.org/spreadsheetml/2006/main" count="503" uniqueCount="154">
  <si>
    <t>Atributos</t>
  </si>
  <si>
    <t>MOD</t>
  </si>
  <si>
    <t>Nível</t>
  </si>
  <si>
    <t>Ações</t>
  </si>
  <si>
    <t>FOR</t>
  </si>
  <si>
    <t>HP</t>
  </si>
  <si>
    <t>Turnos</t>
  </si>
  <si>
    <t>PM</t>
  </si>
  <si>
    <t>Descrição</t>
  </si>
  <si>
    <t>DES</t>
  </si>
  <si>
    <t>CON</t>
  </si>
  <si>
    <t>DEF</t>
  </si>
  <si>
    <t>INT</t>
  </si>
  <si>
    <t>Block</t>
  </si>
  <si>
    <t>SAB</t>
  </si>
  <si>
    <t>Contra-ataque</t>
  </si>
  <si>
    <t>CAR</t>
  </si>
  <si>
    <t>Procentagem</t>
  </si>
  <si>
    <t>Grana</t>
  </si>
  <si>
    <t>EXP</t>
  </si>
  <si>
    <t>Equipamento</t>
  </si>
  <si>
    <t>Armadura</t>
  </si>
  <si>
    <t>Arma</t>
  </si>
  <si>
    <t>Item</t>
  </si>
  <si>
    <t>Bônus</t>
  </si>
  <si>
    <t>Penalidade</t>
  </si>
  <si>
    <t>Dano</t>
  </si>
  <si>
    <t>Especial</t>
  </si>
  <si>
    <t>Crítico</t>
  </si>
  <si>
    <t>Armadura de Couro</t>
  </si>
  <si>
    <t>Ataque Desarmado</t>
  </si>
  <si>
    <t>Status Anteriores</t>
  </si>
  <si>
    <t>Poderes</t>
  </si>
  <si>
    <t>Outros Poderes</t>
  </si>
  <si>
    <t>Nível 1</t>
  </si>
  <si>
    <t>Engenhosidade, protótipo</t>
  </si>
  <si>
    <t>Tipo</t>
  </si>
  <si>
    <t>Poder</t>
  </si>
  <si>
    <t>Nível 2</t>
  </si>
  <si>
    <t>Raça</t>
  </si>
  <si>
    <t>Graça de Glorien</t>
  </si>
  <si>
    <t>Nível 3</t>
  </si>
  <si>
    <t>Sentidos Elficos</t>
  </si>
  <si>
    <t>Nível 4</t>
  </si>
  <si>
    <t>Herança Férica</t>
  </si>
  <si>
    <t>Nível 5</t>
  </si>
  <si>
    <t>Origem</t>
  </si>
  <si>
    <t>Aparência inofensiva</t>
  </si>
  <si>
    <t>Nível 6</t>
  </si>
  <si>
    <t>Divindade</t>
  </si>
  <si>
    <t>Voz da Civilização</t>
  </si>
  <si>
    <t>Nível 7</t>
  </si>
  <si>
    <t>Nível 8</t>
  </si>
  <si>
    <t>Nível 9</t>
  </si>
  <si>
    <t>Nível 10</t>
  </si>
  <si>
    <t>Nível 11</t>
  </si>
  <si>
    <t>Nível 12</t>
  </si>
  <si>
    <t>Nível 13</t>
  </si>
  <si>
    <t>Nível 14</t>
  </si>
  <si>
    <t>Nível 15</t>
  </si>
  <si>
    <t>Nível 16</t>
  </si>
  <si>
    <t>Nível 17</t>
  </si>
  <si>
    <t>Nível 18</t>
  </si>
  <si>
    <t>Nível 19</t>
  </si>
  <si>
    <t>Nível 20</t>
  </si>
  <si>
    <t>Teste</t>
  </si>
  <si>
    <t>D20</t>
  </si>
  <si>
    <t>Total</t>
  </si>
  <si>
    <t>Luta</t>
  </si>
  <si>
    <t>Magia</t>
  </si>
  <si>
    <t>Círculo</t>
  </si>
  <si>
    <t>Custo</t>
  </si>
  <si>
    <t>Custo Círculo</t>
  </si>
  <si>
    <t>Armaduras</t>
  </si>
  <si>
    <t>Preço</t>
  </si>
  <si>
    <t>Peso</t>
  </si>
  <si>
    <t>7kg</t>
  </si>
  <si>
    <t>Armas</t>
  </si>
  <si>
    <t>Modificação</t>
  </si>
  <si>
    <t>1d4</t>
  </si>
  <si>
    <t>Impacto</t>
  </si>
  <si>
    <t>x2</t>
  </si>
  <si>
    <t>Bordão</t>
  </si>
  <si>
    <t>1d6/1d6</t>
  </si>
  <si>
    <t>Equilibrada</t>
  </si>
  <si>
    <t>Itens</t>
  </si>
  <si>
    <t>Quantidade</t>
  </si>
  <si>
    <t>Peso Un.</t>
  </si>
  <si>
    <t>Preço Un.</t>
  </si>
  <si>
    <t>Coleção de Livros</t>
  </si>
  <si>
    <t>+1 Guerra</t>
  </si>
  <si>
    <t>Capacidade</t>
  </si>
  <si>
    <t>Capacidade Máxima</t>
  </si>
  <si>
    <t>Status</t>
  </si>
  <si>
    <t>Perícia</t>
  </si>
  <si>
    <t>ATR</t>
  </si>
  <si>
    <t>1/2 Nível</t>
  </si>
  <si>
    <t>Treino</t>
  </si>
  <si>
    <t>Bônus Habilidade</t>
  </si>
  <si>
    <t>Treinada?</t>
  </si>
  <si>
    <t>Somente Treinada?</t>
  </si>
  <si>
    <t>Penalidade de Armadura?</t>
  </si>
  <si>
    <t>Bônus Treino</t>
  </si>
  <si>
    <t>Acrobacia</t>
  </si>
  <si>
    <t>Des</t>
  </si>
  <si>
    <t>não</t>
  </si>
  <si>
    <t>—</t>
  </si>
  <si>
    <t>sim</t>
  </si>
  <si>
    <t>Adestramento</t>
  </si>
  <si>
    <t>Car</t>
  </si>
  <si>
    <t>Atletismo</t>
  </si>
  <si>
    <t>For</t>
  </si>
  <si>
    <t>Atuação</t>
  </si>
  <si>
    <t>Cavalgar</t>
  </si>
  <si>
    <t>ATR Alterações</t>
  </si>
  <si>
    <t>Conhecimento</t>
  </si>
  <si>
    <t>Int</t>
  </si>
  <si>
    <t>Cura</t>
  </si>
  <si>
    <t>Sab</t>
  </si>
  <si>
    <t>Diplomacia</t>
  </si>
  <si>
    <t>Enganação</t>
  </si>
  <si>
    <t>Fortitude</t>
  </si>
  <si>
    <t>Con</t>
  </si>
  <si>
    <t>Furtividade</t>
  </si>
  <si>
    <t>Guerra</t>
  </si>
  <si>
    <t>Iniciativa</t>
  </si>
  <si>
    <t>Intimidação</t>
  </si>
  <si>
    <t>Intuição</t>
  </si>
  <si>
    <t>Investigação</t>
  </si>
  <si>
    <t>Jogatina</t>
  </si>
  <si>
    <t>Ladinagem</t>
  </si>
  <si>
    <t>Misticismo</t>
  </si>
  <si>
    <t>Nobreza</t>
  </si>
  <si>
    <t>Ofício (Alquimista)</t>
  </si>
  <si>
    <t>Ofício (Armeiro)</t>
  </si>
  <si>
    <t>Ofício (Engenhoqueiro)</t>
  </si>
  <si>
    <t>Percepção</t>
  </si>
  <si>
    <t>Pilotagem</t>
  </si>
  <si>
    <t>Pontaria</t>
  </si>
  <si>
    <t>Reflexos</t>
  </si>
  <si>
    <t>Religião</t>
  </si>
  <si>
    <t>Sobrevivência</t>
  </si>
  <si>
    <t>Vontade</t>
  </si>
  <si>
    <t>ATR Base</t>
  </si>
  <si>
    <t>Pontos de Experiência</t>
  </si>
  <si>
    <t>Nível de Personagem</t>
  </si>
  <si>
    <t>Bônus em Perícias</t>
  </si>
  <si>
    <t>PV classe</t>
  </si>
  <si>
    <t>PM classe</t>
  </si>
  <si>
    <t>PM raça</t>
  </si>
  <si>
    <t>PV P/nv</t>
  </si>
  <si>
    <t>Mana P/nv</t>
  </si>
  <si>
    <t>Bônus Raça</t>
  </si>
  <si>
    <t>Aumento ATR</t>
  </si>
</sst>
</file>

<file path=xl/styles.xml><?xml version="1.0" encoding="utf-8"?>
<styleSheet xmlns="http://schemas.openxmlformats.org/spreadsheetml/2006/main">
  <numFmts count="4">
    <numFmt numFmtId="176" formatCode="_-&quot;R$&quot;\ * #,##0_-;\-&quot;R$&quot;\ * #,##0_-;_-&quot;R$&quot;\ * &quot;-&quot;_-;_-@_-"/>
    <numFmt numFmtId="177" formatCode="_-* #,##0_-;\-* #,##0_-;_-* &quot;-&quot;_-;_-@_-"/>
    <numFmt numFmtId="178" formatCode="_-&quot;R$&quot;\ * #,##0.00_-;\-&quot;R$&quot;\ * #,##0.00_-;_-&quot;R$&quot;\ * &quot;-&quot;??_-;_-@_-"/>
    <numFmt numFmtId="179" formatCode="_-* #,##0.00_-;\-* #,##0.00_-;_-* &quot;-&quot;??_-;_-@_-"/>
  </numFmts>
  <fonts count="27">
    <font>
      <sz val="11"/>
      <color theme="1"/>
      <name val="Aptos Narrow"/>
      <charset val="134"/>
      <scheme val="minor"/>
    </font>
    <font>
      <b/>
      <sz val="10"/>
      <color rgb="FF231F20"/>
      <name val="Palatino Linotype"/>
      <charset val="134"/>
    </font>
    <font>
      <sz val="9"/>
      <color rgb="FF231F20"/>
      <name val="Palatino Linotype"/>
      <charset val="134"/>
    </font>
    <font>
      <b/>
      <sz val="7.5"/>
      <color rgb="FF231F20"/>
      <name val="Palatino Linotype"/>
      <charset val="134"/>
    </font>
    <font>
      <b/>
      <sz val="9"/>
      <color rgb="FF231F20"/>
      <name val="Palatino Linotype"/>
      <charset val="134"/>
    </font>
    <font>
      <sz val="11"/>
      <color theme="1"/>
      <name val="Aptos Narrow"/>
      <charset val="0"/>
      <scheme val="minor"/>
    </font>
    <font>
      <sz val="11"/>
      <color rgb="FFFA7D00"/>
      <name val="Aptos Narrow"/>
      <charset val="0"/>
      <scheme val="minor"/>
    </font>
    <font>
      <u/>
      <sz val="11"/>
      <color rgb="FF0000FF"/>
      <name val="Aptos Narrow"/>
      <charset val="0"/>
      <scheme val="minor"/>
    </font>
    <font>
      <sz val="11"/>
      <color theme="0"/>
      <name val="Aptos Narrow"/>
      <charset val="0"/>
      <scheme val="minor"/>
    </font>
    <font>
      <sz val="11"/>
      <color rgb="FFFF0000"/>
      <name val="Aptos Narrow"/>
      <charset val="0"/>
      <scheme val="minor"/>
    </font>
    <font>
      <b/>
      <sz val="15"/>
      <color theme="3"/>
      <name val="Aptos Narrow"/>
      <charset val="134"/>
      <scheme val="minor"/>
    </font>
    <font>
      <u/>
      <sz val="11"/>
      <color rgb="FF800080"/>
      <name val="Aptos Narrow"/>
      <charset val="0"/>
      <scheme val="minor"/>
    </font>
    <font>
      <b/>
      <sz val="18"/>
      <color theme="3"/>
      <name val="Aptos Narrow"/>
      <charset val="134"/>
      <scheme val="minor"/>
    </font>
    <font>
      <b/>
      <sz val="11"/>
      <color rgb="FF3F3F3F"/>
      <name val="Aptos Narrow"/>
      <charset val="0"/>
      <scheme val="minor"/>
    </font>
    <font>
      <sz val="11"/>
      <color rgb="FF9C0006"/>
      <name val="Aptos Narrow"/>
      <charset val="0"/>
      <scheme val="minor"/>
    </font>
    <font>
      <b/>
      <sz val="11"/>
      <color rgb="FFFA7D00"/>
      <name val="Aptos Narrow"/>
      <charset val="0"/>
      <scheme val="minor"/>
    </font>
    <font>
      <sz val="11"/>
      <color rgb="FF3F3F76"/>
      <name val="Aptos Narrow"/>
      <charset val="0"/>
      <scheme val="minor"/>
    </font>
    <font>
      <sz val="11"/>
      <color rgb="FF9C6500"/>
      <name val="Aptos Narrow"/>
      <charset val="0"/>
      <scheme val="minor"/>
    </font>
    <font>
      <b/>
      <sz val="11"/>
      <color rgb="FFFFFFFF"/>
      <name val="Aptos Narrow"/>
      <charset val="0"/>
      <scheme val="minor"/>
    </font>
    <font>
      <b/>
      <sz val="13"/>
      <color theme="3"/>
      <name val="Aptos Narrow"/>
      <charset val="134"/>
      <scheme val="minor"/>
    </font>
    <font>
      <sz val="11"/>
      <color rgb="FF006100"/>
      <name val="Aptos Narrow"/>
      <charset val="0"/>
      <scheme val="minor"/>
    </font>
    <font>
      <i/>
      <sz val="11"/>
      <color rgb="FF7F7F7F"/>
      <name val="Aptos Narrow"/>
      <charset val="0"/>
      <scheme val="minor"/>
    </font>
    <font>
      <b/>
      <sz val="11"/>
      <color theme="3"/>
      <name val="Aptos Narrow"/>
      <charset val="134"/>
      <scheme val="minor"/>
    </font>
    <font>
      <b/>
      <sz val="11"/>
      <color theme="1"/>
      <name val="Aptos Narrow"/>
      <charset val="0"/>
      <scheme val="minor"/>
    </font>
    <font>
      <b/>
      <sz val="9"/>
      <name val="Segoe UI"/>
      <charset val="134"/>
    </font>
    <font>
      <sz val="9"/>
      <name val="Segoe UI"/>
      <charset val="134"/>
    </font>
    <font>
      <sz val="10"/>
      <color rgb="FF000000"/>
      <name val="Aptos Narrow"/>
      <charset val="0"/>
      <scheme val="minor"/>
    </font>
  </fonts>
  <fills count="35">
    <fill>
      <patternFill patternType="none"/>
    </fill>
    <fill>
      <patternFill patternType="gray125"/>
    </fill>
    <fill>
      <patternFill patternType="solid">
        <fgColor rgb="FFD7CFCB"/>
        <bgColor indexed="64"/>
      </patternFill>
    </fill>
    <fill>
      <patternFill patternType="solid">
        <fgColor theme="0"/>
        <bgColor indexed="64"/>
      </patternFill>
    </fill>
    <fill>
      <patternFill patternType="solid">
        <fgColor theme="8" tint="0.799981688894314"/>
        <bgColor indexed="64"/>
      </patternFill>
    </fill>
    <fill>
      <patternFill patternType="solid">
        <fgColor theme="9" tint="0.599993896298105"/>
        <bgColor indexed="64"/>
      </patternFill>
    </fill>
    <fill>
      <patternFill patternType="solid">
        <fgColor theme="4" tint="0.399975585192419"/>
        <bgColor indexed="64"/>
      </patternFill>
    </fill>
    <fill>
      <patternFill patternType="solid">
        <fgColor theme="4" tint="0.599993896298105"/>
        <bgColor indexed="64"/>
      </patternFill>
    </fill>
    <fill>
      <patternFill patternType="solid">
        <fgColor rgb="FFF2F2F2"/>
        <bgColor indexed="64"/>
      </patternFill>
    </fill>
    <fill>
      <patternFill patternType="solid">
        <fgColor rgb="FFFFC7CE"/>
        <bgColor indexed="64"/>
      </patternFill>
    </fill>
    <fill>
      <patternFill patternType="solid">
        <fgColor theme="9" tint="0.399975585192419"/>
        <bgColor indexed="64"/>
      </patternFill>
    </fill>
    <fill>
      <patternFill patternType="solid">
        <fgColor theme="4"/>
        <bgColor indexed="64"/>
      </patternFill>
    </fill>
    <fill>
      <patternFill patternType="solid">
        <fgColor rgb="FFFFCC99"/>
        <bgColor indexed="64"/>
      </patternFill>
    </fill>
    <fill>
      <patternFill patternType="solid">
        <fgColor theme="6" tint="0.399975585192419"/>
        <bgColor indexed="64"/>
      </patternFill>
    </fill>
    <fill>
      <patternFill patternType="solid">
        <fgColor theme="4" tint="0.799981688894314"/>
        <bgColor indexed="64"/>
      </patternFill>
    </fill>
    <fill>
      <patternFill patternType="solid">
        <fgColor rgb="FFFFEB9C"/>
        <bgColor indexed="64"/>
      </patternFill>
    </fill>
    <fill>
      <patternFill patternType="solid">
        <fgColor theme="9"/>
        <bgColor indexed="64"/>
      </patternFill>
    </fill>
    <fill>
      <patternFill patternType="solid">
        <fgColor rgb="FFFFFFCC"/>
        <bgColor indexed="64"/>
      </patternFill>
    </fill>
    <fill>
      <patternFill patternType="solid">
        <fgColor theme="7" tint="0.399975585192419"/>
        <bgColor indexed="64"/>
      </patternFill>
    </fill>
    <fill>
      <patternFill patternType="solid">
        <fgColor theme="6" tint="0.59999389629810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7" tint="0.799981688894314"/>
        <bgColor indexed="64"/>
      </patternFill>
    </fill>
    <fill>
      <patternFill patternType="solid">
        <fgColor rgb="FFA5A5A5"/>
        <bgColor indexed="64"/>
      </patternFill>
    </fill>
    <fill>
      <patternFill patternType="solid">
        <fgColor theme="5" tint="0.399975585192419"/>
        <bgColor indexed="64"/>
      </patternFill>
    </fill>
    <fill>
      <patternFill patternType="solid">
        <fgColor theme="7"/>
        <bgColor indexed="64"/>
      </patternFill>
    </fill>
    <fill>
      <patternFill patternType="solid">
        <fgColor rgb="FFC6EFCE"/>
        <bgColor indexed="64"/>
      </patternFill>
    </fill>
    <fill>
      <patternFill patternType="solid">
        <fgColor theme="7" tint="0.599993896298105"/>
        <bgColor indexed="64"/>
      </patternFill>
    </fill>
    <fill>
      <patternFill patternType="solid">
        <fgColor theme="8" tint="0.599993896298105"/>
        <bgColor indexed="64"/>
      </patternFill>
    </fill>
    <fill>
      <patternFill patternType="solid">
        <fgColor theme="8"/>
        <bgColor indexed="64"/>
      </patternFill>
    </fill>
    <fill>
      <patternFill patternType="solid">
        <fgColor theme="6" tint="0.799981688894314"/>
        <bgColor indexed="64"/>
      </patternFill>
    </fill>
    <fill>
      <patternFill patternType="solid">
        <fgColor theme="8" tint="0.399975585192419"/>
        <bgColor indexed="64"/>
      </patternFill>
    </fill>
    <fill>
      <patternFill patternType="solid">
        <fgColor theme="9" tint="0.799981688894314"/>
        <bgColor indexed="64"/>
      </patternFill>
    </fill>
    <fill>
      <patternFill patternType="solid">
        <fgColor theme="6"/>
        <bgColor indexed="64"/>
      </patternFill>
    </fill>
    <fill>
      <patternFill patternType="solid">
        <fgColor theme="5"/>
        <bgColor indexed="64"/>
      </patternFill>
    </fill>
  </fills>
  <borders count="45">
    <border>
      <left/>
      <right/>
      <top/>
      <bottom/>
      <diagonal/>
    </border>
    <border>
      <left style="thick">
        <color auto="1"/>
      </left>
      <right style="thin">
        <color auto="1"/>
      </right>
      <top style="thick">
        <color auto="1"/>
      </top>
      <bottom style="thin">
        <color auto="1"/>
      </bottom>
      <diagonal/>
    </border>
    <border>
      <left style="thin">
        <color auto="1"/>
      </left>
      <right style="thick">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ck">
        <color auto="1"/>
      </right>
      <top style="thin">
        <color auto="1"/>
      </top>
      <bottom style="thin">
        <color auto="1"/>
      </bottom>
      <diagonal/>
    </border>
    <border>
      <left style="thick">
        <color auto="1"/>
      </left>
      <right style="thin">
        <color auto="1"/>
      </right>
      <top style="thin">
        <color auto="1"/>
      </top>
      <bottom style="thick">
        <color auto="1"/>
      </bottom>
      <diagonal/>
    </border>
    <border>
      <left style="thin">
        <color auto="1"/>
      </left>
      <right style="thick">
        <color auto="1"/>
      </right>
      <top style="thin">
        <color auto="1"/>
      </top>
      <bottom style="thick">
        <color auto="1"/>
      </bottom>
      <diagonal/>
    </border>
    <border>
      <left style="thin">
        <color auto="1"/>
      </left>
      <right style="thin">
        <color auto="1"/>
      </right>
      <top style="thick">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ck">
        <color auto="1"/>
      </bottom>
      <diagonal/>
    </border>
    <border>
      <left/>
      <right style="thin">
        <color auto="1"/>
      </right>
      <top/>
      <bottom style="thin">
        <color auto="1"/>
      </bottom>
      <diagonal/>
    </border>
    <border>
      <left style="thin">
        <color auto="1"/>
      </left>
      <right style="thin">
        <color auto="1"/>
      </right>
      <top/>
      <bottom style="thin">
        <color auto="1"/>
      </bottom>
      <diagonal/>
    </border>
    <border>
      <left/>
      <right style="thin">
        <color auto="1"/>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bottom style="thin">
        <color auto="1"/>
      </bottom>
      <diagonal/>
    </border>
    <border>
      <left style="thin">
        <color auto="1"/>
      </left>
      <right/>
      <top style="thin">
        <color auto="1"/>
      </top>
      <bottom style="thin">
        <color auto="1"/>
      </bottom>
      <diagonal/>
    </border>
    <border>
      <left style="thin">
        <color auto="1"/>
      </left>
      <right/>
      <top style="thin">
        <color auto="1"/>
      </top>
      <bottom/>
      <diagonal/>
    </border>
    <border>
      <left style="thick">
        <color auto="1"/>
      </left>
      <right/>
      <top style="thick">
        <color auto="1"/>
      </top>
      <bottom style="thin">
        <color auto="1"/>
      </bottom>
      <diagonal/>
    </border>
    <border>
      <left/>
      <right/>
      <top style="thick">
        <color auto="1"/>
      </top>
      <bottom style="thin">
        <color auto="1"/>
      </bottom>
      <diagonal/>
    </border>
    <border>
      <left/>
      <right style="thick">
        <color auto="1"/>
      </right>
      <top style="thin">
        <color auto="1"/>
      </top>
      <bottom style="thin">
        <color auto="1"/>
      </bottom>
      <diagonal/>
    </border>
    <border>
      <left style="thin">
        <color auto="1"/>
      </left>
      <right/>
      <top style="thin">
        <color auto="1"/>
      </top>
      <bottom style="thick">
        <color auto="1"/>
      </bottom>
      <diagonal/>
    </border>
    <border>
      <left/>
      <right style="thick">
        <color auto="1"/>
      </right>
      <top style="thin">
        <color auto="1"/>
      </top>
      <bottom style="thick">
        <color auto="1"/>
      </bottom>
      <diagonal/>
    </border>
    <border>
      <left style="thin">
        <color auto="1"/>
      </left>
      <right/>
      <top style="thick">
        <color auto="1"/>
      </top>
      <bottom style="thin">
        <color auto="1"/>
      </bottom>
      <diagonal/>
    </border>
    <border>
      <left/>
      <right style="thick">
        <color auto="1"/>
      </right>
      <top style="thick">
        <color auto="1"/>
      </top>
      <bottom style="thin">
        <color auto="1"/>
      </bottom>
      <diagonal/>
    </border>
    <border>
      <left style="thick">
        <color auto="1"/>
      </left>
      <right style="thin">
        <color auto="1"/>
      </right>
      <top style="thick">
        <color auto="1"/>
      </top>
      <bottom style="thick">
        <color auto="1"/>
      </bottom>
      <diagonal/>
    </border>
    <border>
      <left style="thin">
        <color auto="1"/>
      </left>
      <right style="thin">
        <color auto="1"/>
      </right>
      <top style="thick">
        <color auto="1"/>
      </top>
      <bottom style="thick">
        <color auto="1"/>
      </bottom>
      <diagonal/>
    </border>
    <border>
      <left style="thin">
        <color auto="1"/>
      </left>
      <right style="thick">
        <color auto="1"/>
      </right>
      <top style="thick">
        <color auto="1"/>
      </top>
      <bottom style="thick">
        <color auto="1"/>
      </bottom>
      <diagonal/>
    </border>
    <border>
      <left style="thick">
        <color rgb="FF505050"/>
      </left>
      <right style="thin">
        <color rgb="FF505050"/>
      </right>
      <top style="thick">
        <color rgb="FF505050"/>
      </top>
      <bottom style="thin">
        <color rgb="FF505050"/>
      </bottom>
      <diagonal/>
    </border>
    <border>
      <left style="thin">
        <color rgb="FF505050"/>
      </left>
      <right style="thin">
        <color rgb="FF505050"/>
      </right>
      <top style="thick">
        <color rgb="FF505050"/>
      </top>
      <bottom style="thin">
        <color rgb="FF505050"/>
      </bottom>
      <diagonal/>
    </border>
    <border>
      <left style="thick">
        <color rgb="FF505050"/>
      </left>
      <right style="thin">
        <color rgb="FF505050"/>
      </right>
      <top style="thin">
        <color rgb="FF505050"/>
      </top>
      <bottom style="thin">
        <color rgb="FF505050"/>
      </bottom>
      <diagonal/>
    </border>
    <border>
      <left style="thin">
        <color rgb="FF505050"/>
      </left>
      <right style="thin">
        <color rgb="FF505050"/>
      </right>
      <top style="thin">
        <color rgb="FF505050"/>
      </top>
      <bottom style="thin">
        <color rgb="FF505050"/>
      </bottom>
      <diagonal/>
    </border>
    <border>
      <left style="thick">
        <color rgb="FF505050"/>
      </left>
      <right style="thin">
        <color rgb="FF505050"/>
      </right>
      <top style="thin">
        <color rgb="FF505050"/>
      </top>
      <bottom style="thick">
        <color rgb="FF505050"/>
      </bottom>
      <diagonal/>
    </border>
    <border>
      <left style="thin">
        <color rgb="FF505050"/>
      </left>
      <right style="thin">
        <color rgb="FF505050"/>
      </right>
      <top style="thin">
        <color rgb="FF505050"/>
      </top>
      <bottom style="thick">
        <color rgb="FF505050"/>
      </bottom>
      <diagonal/>
    </border>
    <border>
      <left style="thin">
        <color rgb="FF505050"/>
      </left>
      <right style="thick">
        <color rgb="FF505050"/>
      </right>
      <top style="thick">
        <color rgb="FF505050"/>
      </top>
      <bottom style="thin">
        <color rgb="FF505050"/>
      </bottom>
      <diagonal/>
    </border>
    <border>
      <left style="thin">
        <color rgb="FF505050"/>
      </left>
      <right style="thick">
        <color rgb="FF505050"/>
      </right>
      <top style="thin">
        <color rgb="FF505050"/>
      </top>
      <bottom style="thin">
        <color rgb="FF505050"/>
      </bottom>
      <diagonal/>
    </border>
    <border>
      <left style="thin">
        <color rgb="FF505050"/>
      </left>
      <right style="thick">
        <color rgb="FF505050"/>
      </right>
      <top style="thin">
        <color rgb="FF505050"/>
      </top>
      <bottom style="thick">
        <color rgb="FF505050"/>
      </bottom>
      <diagonal/>
    </border>
    <border>
      <left/>
      <right/>
      <top/>
      <bottom style="double">
        <color rgb="FFFF8001"/>
      </bottom>
      <diagonal/>
    </border>
    <border>
      <left/>
      <right/>
      <top/>
      <bottom style="medium">
        <color theme="4"/>
      </bottom>
      <diagonal/>
    </border>
    <border>
      <left style="thin">
        <color rgb="FF3F3F3F"/>
      </left>
      <right style="thin">
        <color rgb="FF3F3F3F"/>
      </right>
      <top style="thin">
        <color rgb="FF3F3F3F"/>
      </top>
      <bottom style="thin">
        <color rgb="FF3F3F3F"/>
      </bottom>
      <diagonal/>
    </border>
    <border>
      <left style="thin">
        <color rgb="FF7F7F7F"/>
      </left>
      <right style="thin">
        <color rgb="FF7F7F7F"/>
      </right>
      <top style="thin">
        <color rgb="FF7F7F7F"/>
      </top>
      <bottom style="thin">
        <color rgb="FF7F7F7F"/>
      </bottom>
      <diagonal/>
    </border>
    <border>
      <left style="thin">
        <color rgb="FFB2B2B2"/>
      </left>
      <right style="thin">
        <color rgb="FFB2B2B2"/>
      </right>
      <top style="thin">
        <color rgb="FFB2B2B2"/>
      </top>
      <bottom style="thin">
        <color rgb="FFB2B2B2"/>
      </bottom>
      <diagonal/>
    </border>
    <border>
      <left style="double">
        <color rgb="FF3F3F3F"/>
      </left>
      <right style="double">
        <color rgb="FF3F3F3F"/>
      </right>
      <top style="double">
        <color rgb="FF3F3F3F"/>
      </top>
      <bottom style="double">
        <color rgb="FF3F3F3F"/>
      </bottom>
      <diagonal/>
    </border>
    <border>
      <left/>
      <right/>
      <top/>
      <bottom style="medium">
        <color theme="4" tint="0.499984740745262"/>
      </bottom>
      <diagonal/>
    </border>
    <border>
      <left/>
      <right/>
      <top style="thin">
        <color theme="4"/>
      </top>
      <bottom style="double">
        <color theme="4"/>
      </bottom>
      <diagonal/>
    </border>
  </borders>
  <cellStyleXfs count="49">
    <xf numFmtId="0" fontId="0" fillId="0" borderId="0"/>
    <xf numFmtId="0" fontId="8" fillId="10" borderId="0" applyNumberFormat="0" applyBorder="0" applyAlignment="0" applyProtection="0">
      <alignment vertical="center"/>
    </xf>
    <xf numFmtId="0" fontId="5" fillId="5" borderId="0" applyNumberFormat="0" applyBorder="0" applyAlignment="0" applyProtection="0">
      <alignment vertical="center"/>
    </xf>
    <xf numFmtId="0" fontId="5" fillId="32" borderId="0" applyNumberFormat="0" applyBorder="0" applyAlignment="0" applyProtection="0">
      <alignment vertical="center"/>
    </xf>
    <xf numFmtId="0" fontId="5" fillId="28" borderId="0" applyNumberFormat="0" applyBorder="0" applyAlignment="0" applyProtection="0">
      <alignment vertical="center"/>
    </xf>
    <xf numFmtId="0" fontId="8" fillId="29" borderId="0" applyNumberFormat="0" applyBorder="0" applyAlignment="0" applyProtection="0">
      <alignment vertical="center"/>
    </xf>
    <xf numFmtId="0" fontId="8" fillId="25" borderId="0" applyNumberFormat="0" applyBorder="0" applyAlignment="0" applyProtection="0">
      <alignment vertical="center"/>
    </xf>
    <xf numFmtId="0" fontId="22" fillId="0" borderId="0" applyNumberFormat="0" applyFill="0" applyBorder="0" applyAlignment="0" applyProtection="0">
      <alignment vertical="center"/>
    </xf>
    <xf numFmtId="0" fontId="8" fillId="13" borderId="0" applyNumberFormat="0" applyBorder="0" applyAlignment="0" applyProtection="0">
      <alignment vertical="center"/>
    </xf>
    <xf numFmtId="0" fontId="5" fillId="30" borderId="0" applyNumberFormat="0" applyBorder="0" applyAlignment="0" applyProtection="0">
      <alignment vertical="center"/>
    </xf>
    <xf numFmtId="0" fontId="8" fillId="33" borderId="0" applyNumberFormat="0" applyBorder="0" applyAlignment="0" applyProtection="0">
      <alignment vertical="center"/>
    </xf>
    <xf numFmtId="0" fontId="22" fillId="0" borderId="43" applyNumberFormat="0" applyFill="0" applyAlignment="0" applyProtection="0">
      <alignment vertical="center"/>
    </xf>
    <xf numFmtId="0" fontId="8" fillId="24" borderId="0" applyNumberFormat="0" applyBorder="0" applyAlignment="0" applyProtection="0">
      <alignment vertical="center"/>
    </xf>
    <xf numFmtId="0" fontId="18" fillId="23" borderId="42" applyNumberFormat="0" applyAlignment="0" applyProtection="0">
      <alignment vertical="center"/>
    </xf>
    <xf numFmtId="0" fontId="5" fillId="21" borderId="0" applyNumberFormat="0" applyBorder="0" applyAlignment="0" applyProtection="0">
      <alignment vertical="center"/>
    </xf>
    <xf numFmtId="0" fontId="8" fillId="31" borderId="0" applyNumberFormat="0" applyBorder="0" applyAlignment="0" applyProtection="0">
      <alignment vertical="center"/>
    </xf>
    <xf numFmtId="0" fontId="8" fillId="34" borderId="0" applyNumberFormat="0" applyBorder="0" applyAlignment="0" applyProtection="0">
      <alignment vertical="center"/>
    </xf>
    <xf numFmtId="0" fontId="8" fillId="16" borderId="0" applyNumberFormat="0" applyBorder="0" applyAlignment="0" applyProtection="0">
      <alignment vertical="center"/>
    </xf>
    <xf numFmtId="0" fontId="5" fillId="7" borderId="0" applyNumberFormat="0" applyBorder="0" applyAlignment="0" applyProtection="0">
      <alignment vertical="center"/>
    </xf>
    <xf numFmtId="0" fontId="5" fillId="14" borderId="0" applyNumberFormat="0" applyBorder="0" applyAlignment="0" applyProtection="0">
      <alignment vertical="center"/>
    </xf>
    <xf numFmtId="0" fontId="8" fillId="18" borderId="0" applyNumberFormat="0" applyBorder="0" applyAlignment="0" applyProtection="0">
      <alignment vertical="center"/>
    </xf>
    <xf numFmtId="0" fontId="8" fillId="11" borderId="0" applyNumberFormat="0" applyBorder="0" applyAlignment="0" applyProtection="0">
      <alignment vertical="center"/>
    </xf>
    <xf numFmtId="0" fontId="5" fillId="27" borderId="0" applyNumberFormat="0" applyBorder="0" applyAlignment="0" applyProtection="0">
      <alignment vertical="center"/>
    </xf>
    <xf numFmtId="0" fontId="14" fillId="9" borderId="0" applyNumberFormat="0" applyBorder="0" applyAlignment="0" applyProtection="0">
      <alignment vertical="center"/>
    </xf>
    <xf numFmtId="0" fontId="5" fillId="22" borderId="0" applyNumberFormat="0" applyBorder="0" applyAlignment="0" applyProtection="0">
      <alignment vertical="center"/>
    </xf>
    <xf numFmtId="0" fontId="13" fillId="8" borderId="39" applyNumberFormat="0" applyAlignment="0" applyProtection="0">
      <alignment vertical="center"/>
    </xf>
    <xf numFmtId="0" fontId="11" fillId="0" borderId="0" applyNumberFormat="0" applyFill="0" applyBorder="0" applyAlignment="0" applyProtection="0">
      <alignment vertical="center"/>
    </xf>
    <xf numFmtId="176" fontId="0" fillId="0" borderId="0" applyFont="0" applyFill="0" applyBorder="0" applyAlignment="0" applyProtection="0">
      <alignment vertical="center"/>
    </xf>
    <xf numFmtId="0" fontId="23" fillId="0" borderId="44" applyNumberFormat="0" applyFill="0" applyAlignment="0" applyProtection="0">
      <alignment vertical="center"/>
    </xf>
    <xf numFmtId="0" fontId="20" fillId="26" borderId="0" applyNumberFormat="0" applyBorder="0" applyAlignment="0" applyProtection="0">
      <alignment vertical="center"/>
    </xf>
    <xf numFmtId="0" fontId="5" fillId="19" borderId="0" applyNumberFormat="0" applyBorder="0" applyAlignment="0" applyProtection="0">
      <alignment vertical="center"/>
    </xf>
    <xf numFmtId="0" fontId="9" fillId="0" borderId="0" applyNumberFormat="0" applyFill="0" applyBorder="0" applyAlignment="0" applyProtection="0">
      <alignment vertical="center"/>
    </xf>
    <xf numFmtId="0" fontId="15" fillId="8" borderId="40" applyNumberFormat="0" applyAlignment="0" applyProtection="0">
      <alignment vertical="center"/>
    </xf>
    <xf numFmtId="0" fontId="16" fillId="12" borderId="40" applyNumberFormat="0" applyAlignment="0" applyProtection="0">
      <alignment vertical="center"/>
    </xf>
    <xf numFmtId="0" fontId="21" fillId="0" borderId="0" applyNumberFormat="0" applyFill="0" applyBorder="0" applyAlignment="0" applyProtection="0">
      <alignment vertical="center"/>
    </xf>
    <xf numFmtId="0" fontId="10" fillId="0" borderId="38" applyNumberFormat="0" applyFill="0" applyAlignment="0" applyProtection="0">
      <alignment vertical="center"/>
    </xf>
    <xf numFmtId="0" fontId="12" fillId="0" borderId="0" applyNumberFormat="0" applyFill="0" applyBorder="0" applyAlignment="0" applyProtection="0">
      <alignment vertical="center"/>
    </xf>
    <xf numFmtId="0" fontId="0" fillId="17" borderId="41" applyNumberFormat="0" applyFont="0" applyAlignment="0" applyProtection="0">
      <alignment vertical="center"/>
    </xf>
    <xf numFmtId="0" fontId="5" fillId="20" borderId="0" applyNumberFormat="0" applyBorder="0" applyAlignment="0" applyProtection="0">
      <alignment vertical="center"/>
    </xf>
    <xf numFmtId="0" fontId="8" fillId="6" borderId="0" applyNumberFormat="0" applyBorder="0" applyAlignment="0" applyProtection="0">
      <alignment vertical="center"/>
    </xf>
    <xf numFmtId="0" fontId="19" fillId="0" borderId="38" applyNumberFormat="0" applyFill="0" applyAlignment="0" applyProtection="0">
      <alignment vertical="center"/>
    </xf>
    <xf numFmtId="0" fontId="7" fillId="0" borderId="0" applyNumberFormat="0" applyFill="0" applyBorder="0" applyAlignment="0" applyProtection="0">
      <alignment vertical="center"/>
    </xf>
    <xf numFmtId="0" fontId="6" fillId="0" borderId="37" applyNumberFormat="0" applyFill="0" applyAlignment="0" applyProtection="0">
      <alignment vertical="center"/>
    </xf>
    <xf numFmtId="179" fontId="0" fillId="0" borderId="0" applyFont="0" applyFill="0" applyBorder="0" applyAlignment="0" applyProtection="0">
      <alignment vertical="center"/>
    </xf>
    <xf numFmtId="9" fontId="0" fillId="0" borderId="0" applyFont="0" applyFill="0" applyBorder="0" applyAlignment="0" applyProtection="0">
      <alignment vertical="center"/>
    </xf>
    <xf numFmtId="0" fontId="17" fillId="15" borderId="0" applyNumberFormat="0" applyBorder="0" applyAlignment="0" applyProtection="0">
      <alignment vertical="center"/>
    </xf>
    <xf numFmtId="0" fontId="5" fillId="4" borderId="0" applyNumberFormat="0" applyBorder="0" applyAlignment="0" applyProtection="0">
      <alignment vertical="center"/>
    </xf>
    <xf numFmtId="178" fontId="0" fillId="0" borderId="0" applyFont="0" applyFill="0" applyBorder="0" applyAlignment="0" applyProtection="0">
      <alignment vertical="center"/>
    </xf>
    <xf numFmtId="177" fontId="0" fillId="0" borderId="0" applyFont="0" applyFill="0" applyBorder="0" applyAlignment="0" applyProtection="0">
      <alignment vertical="center"/>
    </xf>
  </cellStyleXfs>
  <cellXfs count="92">
    <xf numFmtId="0" fontId="0" fillId="0" borderId="0" xfId="0"/>
    <xf numFmtId="0" fontId="1" fillId="2" borderId="1" xfId="0" applyFont="1" applyFill="1" applyBorder="1" applyAlignment="1">
      <alignment horizontal="center" vertical="center"/>
    </xf>
    <xf numFmtId="0" fontId="1" fillId="2" borderId="2" xfId="0" applyFont="1" applyFill="1" applyBorder="1" applyAlignment="1">
      <alignment horizontal="center" vertical="center"/>
    </xf>
    <xf numFmtId="0" fontId="2" fillId="0" borderId="3" xfId="0" applyFont="1" applyBorder="1" applyAlignment="1">
      <alignment horizontal="center" vertical="center"/>
    </xf>
    <xf numFmtId="0" fontId="2" fillId="0" borderId="4" xfId="0" applyFont="1" applyBorder="1" applyAlignment="1">
      <alignment horizontal="center" vertical="center"/>
    </xf>
    <xf numFmtId="0" fontId="1" fillId="2" borderId="3" xfId="0" applyFont="1" applyFill="1" applyBorder="1" applyAlignment="1">
      <alignment horizontal="center" vertical="center"/>
    </xf>
    <xf numFmtId="0" fontId="1" fillId="2" borderId="4" xfId="0" applyFont="1" applyFill="1" applyBorder="1" applyAlignment="1">
      <alignment horizontal="center" vertical="center"/>
    </xf>
    <xf numFmtId="0" fontId="1" fillId="2" borderId="5" xfId="0" applyFont="1" applyFill="1" applyBorder="1" applyAlignment="1">
      <alignment horizontal="center" vertical="center"/>
    </xf>
    <xf numFmtId="0" fontId="1" fillId="2" borderId="6" xfId="0" applyFont="1" applyFill="1" applyBorder="1" applyAlignment="1">
      <alignment horizontal="center" vertical="center"/>
    </xf>
    <xf numFmtId="0" fontId="2" fillId="0" borderId="1" xfId="0" applyFont="1" applyBorder="1" applyAlignment="1">
      <alignment horizontal="center" vertical="center"/>
    </xf>
    <xf numFmtId="0" fontId="2" fillId="0" borderId="7" xfId="0" applyFont="1" applyBorder="1" applyAlignment="1">
      <alignment horizontal="center" vertical="center"/>
    </xf>
    <xf numFmtId="0" fontId="1" fillId="2" borderId="8" xfId="0" applyFont="1" applyFill="1" applyBorder="1" applyAlignment="1">
      <alignment horizontal="center" vertical="center"/>
    </xf>
    <xf numFmtId="0" fontId="2" fillId="0" borderId="8" xfId="0" applyFont="1" applyBorder="1" applyAlignment="1">
      <alignment horizontal="center" vertical="center"/>
    </xf>
    <xf numFmtId="0" fontId="2" fillId="0" borderId="5" xfId="0" applyFont="1" applyBorder="1" applyAlignment="1">
      <alignment horizontal="center" vertical="center"/>
    </xf>
    <xf numFmtId="0" fontId="2" fillId="0" borderId="9" xfId="0" applyFont="1" applyBorder="1" applyAlignment="1">
      <alignment horizontal="center" vertical="center"/>
    </xf>
    <xf numFmtId="0" fontId="1" fillId="2" borderId="1" xfId="0" applyFont="1" applyFill="1" applyBorder="1" applyAlignment="1">
      <alignment horizontal="left" vertical="center"/>
    </xf>
    <xf numFmtId="3" fontId="2" fillId="2" borderId="3" xfId="0" applyNumberFormat="1" applyFont="1" applyFill="1" applyBorder="1" applyAlignment="1">
      <alignment horizontal="center" vertical="center"/>
    </xf>
    <xf numFmtId="3" fontId="2" fillId="0" borderId="3" xfId="0" applyNumberFormat="1" applyFont="1" applyBorder="1" applyAlignment="1">
      <alignment horizontal="center" vertical="center"/>
    </xf>
    <xf numFmtId="0" fontId="2" fillId="0" borderId="2" xfId="0" applyFont="1" applyBorder="1" applyAlignment="1">
      <alignment horizontal="center" vertical="center"/>
    </xf>
    <xf numFmtId="0" fontId="2" fillId="0" borderId="6" xfId="0" applyFont="1" applyBorder="1" applyAlignment="1">
      <alignment horizontal="center" vertical="center"/>
    </xf>
    <xf numFmtId="3" fontId="2" fillId="2" borderId="5" xfId="0" applyNumberFormat="1" applyFont="1" applyFill="1" applyBorder="1" applyAlignment="1">
      <alignment horizontal="center" vertical="center"/>
    </xf>
    <xf numFmtId="0" fontId="1" fillId="2" borderId="7" xfId="0" applyFont="1" applyFill="1" applyBorder="1" applyAlignment="1">
      <alignment horizontal="left" vertical="center"/>
    </xf>
    <xf numFmtId="0" fontId="2" fillId="2" borderId="8" xfId="0" applyFont="1" applyFill="1" applyBorder="1" applyAlignment="1">
      <alignment horizontal="center" vertical="center"/>
    </xf>
    <xf numFmtId="0" fontId="2" fillId="2" borderId="9" xfId="0" applyFont="1" applyFill="1" applyBorder="1" applyAlignment="1">
      <alignment horizontal="center" vertical="center"/>
    </xf>
    <xf numFmtId="0" fontId="1" fillId="2" borderId="10" xfId="0" applyFont="1" applyFill="1" applyBorder="1" applyAlignment="1">
      <alignment horizontal="center" vertical="center" wrapText="1"/>
    </xf>
    <xf numFmtId="0" fontId="1" fillId="2" borderId="11" xfId="0" applyFont="1" applyFill="1" applyBorder="1" applyAlignment="1">
      <alignment horizontal="center" vertical="center" wrapText="1"/>
    </xf>
    <xf numFmtId="0" fontId="2" fillId="3" borderId="12" xfId="0" applyFont="1" applyFill="1" applyBorder="1" applyAlignment="1">
      <alignment horizontal="center" vertical="center" wrapText="1"/>
    </xf>
    <xf numFmtId="0" fontId="2" fillId="3" borderId="8" xfId="0" applyFont="1" applyFill="1" applyBorder="1" applyAlignment="1">
      <alignment horizontal="center" vertical="center" wrapText="1"/>
    </xf>
    <xf numFmtId="0" fontId="1" fillId="2" borderId="12" xfId="0" applyFont="1" applyFill="1" applyBorder="1" applyAlignment="1">
      <alignment horizontal="center" vertical="center" wrapText="1"/>
    </xf>
    <xf numFmtId="0" fontId="1" fillId="2" borderId="8" xfId="0" applyFont="1" applyFill="1" applyBorder="1" applyAlignment="1">
      <alignment horizontal="center" vertical="center" wrapText="1"/>
    </xf>
    <xf numFmtId="0" fontId="1" fillId="2" borderId="12" xfId="0" applyFont="1" applyFill="1" applyBorder="1" applyAlignment="1">
      <alignment horizontal="center" vertical="center"/>
    </xf>
    <xf numFmtId="0" fontId="2" fillId="3" borderId="13" xfId="0" applyFont="1" applyFill="1" applyBorder="1" applyAlignment="1">
      <alignment horizontal="center" vertical="center" wrapText="1"/>
    </xf>
    <xf numFmtId="0" fontId="2" fillId="3" borderId="14" xfId="0" applyFont="1" applyFill="1" applyBorder="1" applyAlignment="1">
      <alignment horizontal="center" vertical="center" wrapText="1"/>
    </xf>
    <xf numFmtId="0" fontId="3" fillId="2" borderId="11" xfId="0" applyFont="1" applyFill="1" applyBorder="1" applyAlignment="1">
      <alignment horizontal="center" vertical="center" wrapText="1"/>
    </xf>
    <xf numFmtId="0" fontId="3" fillId="2" borderId="15" xfId="0" applyFont="1" applyFill="1" applyBorder="1" applyAlignment="1">
      <alignment horizontal="center" vertical="center" wrapText="1"/>
    </xf>
    <xf numFmtId="0" fontId="1" fillId="2" borderId="1" xfId="0" applyFont="1" applyFill="1" applyBorder="1" applyAlignment="1">
      <alignment horizontal="center" vertical="center" wrapText="1"/>
    </xf>
    <xf numFmtId="0" fontId="1" fillId="2" borderId="2" xfId="0" applyFont="1" applyFill="1" applyBorder="1" applyAlignment="1">
      <alignment horizontal="center" vertical="center" wrapText="1"/>
    </xf>
    <xf numFmtId="0" fontId="2" fillId="3" borderId="16" xfId="0" applyFont="1" applyFill="1" applyBorder="1" applyAlignment="1">
      <alignment horizontal="center" vertical="center" wrapText="1"/>
    </xf>
    <xf numFmtId="0" fontId="2" fillId="3" borderId="3" xfId="0" applyFont="1" applyFill="1" applyBorder="1" applyAlignment="1">
      <alignment horizontal="center" vertical="center" wrapText="1"/>
    </xf>
    <xf numFmtId="0" fontId="2" fillId="3" borderId="4" xfId="0" applyFont="1" applyFill="1" applyBorder="1" applyAlignment="1">
      <alignment horizontal="center" vertical="center" wrapText="1"/>
    </xf>
    <xf numFmtId="0" fontId="1" fillId="2" borderId="16" xfId="0" applyFont="1" applyFill="1" applyBorder="1" applyAlignment="1">
      <alignment horizontal="center" vertical="center" wrapText="1"/>
    </xf>
    <xf numFmtId="0" fontId="1" fillId="2" borderId="3" xfId="0" applyFont="1" applyFill="1" applyBorder="1" applyAlignment="1">
      <alignment horizontal="center" vertical="center" wrapText="1"/>
    </xf>
    <xf numFmtId="0" fontId="1" fillId="2" borderId="4" xfId="0" applyFont="1" applyFill="1" applyBorder="1" applyAlignment="1">
      <alignment horizontal="center" vertical="center" wrapText="1"/>
    </xf>
    <xf numFmtId="0" fontId="2" fillId="3" borderId="5" xfId="0" applyFont="1" applyFill="1" applyBorder="1" applyAlignment="1">
      <alignment horizontal="center" vertical="center" wrapText="1"/>
    </xf>
    <xf numFmtId="0" fontId="2" fillId="3" borderId="6" xfId="0" applyFont="1" applyFill="1" applyBorder="1" applyAlignment="1">
      <alignment horizontal="center" vertical="center" wrapText="1"/>
    </xf>
    <xf numFmtId="0" fontId="1" fillId="2" borderId="5" xfId="0" applyFont="1" applyFill="1" applyBorder="1" applyAlignment="1">
      <alignment horizontal="center" vertical="center" wrapText="1"/>
    </xf>
    <xf numFmtId="0" fontId="1" fillId="2" borderId="6" xfId="0" applyFont="1" applyFill="1" applyBorder="1" applyAlignment="1">
      <alignment horizontal="center" vertical="center" wrapText="1"/>
    </xf>
    <xf numFmtId="0" fontId="2" fillId="3" borderId="17" xfId="0" applyFont="1" applyFill="1" applyBorder="1" applyAlignment="1">
      <alignment horizontal="center" vertical="center" wrapText="1"/>
    </xf>
    <xf numFmtId="0" fontId="1" fillId="2" borderId="7" xfId="0" applyFont="1" applyFill="1" applyBorder="1" applyAlignment="1">
      <alignment horizontal="center" vertical="center" wrapText="1"/>
    </xf>
    <xf numFmtId="0" fontId="2" fillId="3" borderId="9" xfId="0" applyFont="1" applyFill="1" applyBorder="1" applyAlignment="1">
      <alignment horizontal="center" vertical="center" wrapText="1"/>
    </xf>
    <xf numFmtId="0" fontId="1" fillId="2" borderId="18" xfId="0" applyFont="1" applyFill="1" applyBorder="1" applyAlignment="1">
      <alignment horizontal="center" vertical="center" wrapText="1"/>
    </xf>
    <xf numFmtId="0" fontId="1" fillId="2" borderId="19" xfId="0" applyFont="1" applyFill="1" applyBorder="1" applyAlignment="1">
      <alignment horizontal="center" vertical="center" wrapText="1"/>
    </xf>
    <xf numFmtId="0" fontId="1" fillId="2" borderId="9" xfId="0" applyFont="1" applyFill="1" applyBorder="1" applyAlignment="1">
      <alignment horizontal="center" vertical="center" wrapText="1"/>
    </xf>
    <xf numFmtId="0" fontId="4" fillId="3" borderId="3" xfId="0" applyFont="1" applyFill="1" applyBorder="1" applyAlignment="1">
      <alignment horizontal="center" vertical="center" wrapText="1"/>
    </xf>
    <xf numFmtId="0" fontId="4" fillId="3" borderId="8" xfId="0" applyFont="1" applyFill="1" applyBorder="1" applyAlignment="1">
      <alignment horizontal="center" vertical="center" wrapText="1"/>
    </xf>
    <xf numFmtId="0" fontId="2" fillId="3" borderId="8" xfId="0" applyFont="1" applyFill="1" applyBorder="1" applyAlignment="1">
      <alignment horizontal="center" vertical="center"/>
    </xf>
    <xf numFmtId="0" fontId="1" fillId="2" borderId="9" xfId="0" applyFont="1" applyFill="1" applyBorder="1" applyAlignment="1">
      <alignment horizontal="center" vertical="center"/>
    </xf>
    <xf numFmtId="0" fontId="1" fillId="2" borderId="7" xfId="0" applyFont="1" applyFill="1" applyBorder="1" applyAlignment="1">
      <alignment horizontal="center" vertical="center"/>
    </xf>
    <xf numFmtId="0" fontId="2" fillId="3" borderId="3" xfId="0" applyFont="1" applyFill="1" applyBorder="1" applyAlignment="1">
      <alignment horizontal="center" vertical="center"/>
    </xf>
    <xf numFmtId="0" fontId="2" fillId="3" borderId="16" xfId="0" applyFont="1" applyFill="1" applyBorder="1" applyAlignment="1">
      <alignment horizontal="center" vertical="center"/>
    </xf>
    <xf numFmtId="0" fontId="2" fillId="3" borderId="20" xfId="0" applyFont="1" applyFill="1" applyBorder="1" applyAlignment="1">
      <alignment horizontal="center" vertical="center"/>
    </xf>
    <xf numFmtId="0" fontId="1" fillId="2" borderId="21" xfId="0" applyFont="1" applyFill="1" applyBorder="1" applyAlignment="1">
      <alignment horizontal="center" vertical="center"/>
    </xf>
    <xf numFmtId="0" fontId="1" fillId="2" borderId="22" xfId="0" applyFont="1" applyFill="1" applyBorder="1" applyAlignment="1">
      <alignment horizontal="center" vertical="center"/>
    </xf>
    <xf numFmtId="0" fontId="1" fillId="2" borderId="23" xfId="0" applyFont="1" applyFill="1" applyBorder="1" applyAlignment="1">
      <alignment horizontal="center" vertical="center" wrapText="1"/>
    </xf>
    <xf numFmtId="0" fontId="2" fillId="3" borderId="21" xfId="0" applyFont="1" applyFill="1" applyBorder="1" applyAlignment="1">
      <alignment horizontal="center" vertical="center" wrapText="1"/>
    </xf>
    <xf numFmtId="0" fontId="1" fillId="2" borderId="24" xfId="0" applyFont="1" applyFill="1" applyBorder="1" applyAlignment="1">
      <alignment horizontal="center" vertical="center" wrapText="1"/>
    </xf>
    <xf numFmtId="0" fontId="1" fillId="2" borderId="21" xfId="0" applyFont="1" applyFill="1" applyBorder="1" applyAlignment="1">
      <alignment horizontal="center" vertical="center" wrapText="1"/>
    </xf>
    <xf numFmtId="0" fontId="4" fillId="3" borderId="4" xfId="0" applyFont="1" applyFill="1" applyBorder="1" applyAlignment="1">
      <alignment horizontal="center" vertical="center" wrapText="1"/>
    </xf>
    <xf numFmtId="0" fontId="2" fillId="3" borderId="12" xfId="0" applyFont="1" applyFill="1" applyBorder="1" applyAlignment="1">
      <alignment horizontal="center" vertical="center"/>
    </xf>
    <xf numFmtId="0" fontId="2" fillId="3" borderId="13" xfId="0" applyFont="1" applyFill="1" applyBorder="1" applyAlignment="1">
      <alignment horizontal="center" vertical="center"/>
    </xf>
    <xf numFmtId="0" fontId="1" fillId="2" borderId="15" xfId="0" applyFont="1" applyFill="1" applyBorder="1" applyAlignment="1">
      <alignment horizontal="center" vertical="center" wrapText="1"/>
    </xf>
    <xf numFmtId="0" fontId="1" fillId="2" borderId="25" xfId="0" applyFont="1" applyFill="1" applyBorder="1" applyAlignment="1">
      <alignment horizontal="center" vertical="center" wrapText="1"/>
    </xf>
    <xf numFmtId="0" fontId="1" fillId="2" borderId="26" xfId="0" applyFont="1" applyFill="1" applyBorder="1" applyAlignment="1">
      <alignment horizontal="center" vertical="center" wrapText="1"/>
    </xf>
    <xf numFmtId="0" fontId="1" fillId="2" borderId="27" xfId="0" applyFont="1" applyFill="1" applyBorder="1" applyAlignment="1">
      <alignment horizontal="center" vertical="center" wrapText="1"/>
    </xf>
    <xf numFmtId="0" fontId="1" fillId="2" borderId="28" xfId="0" applyFont="1" applyFill="1" applyBorder="1" applyAlignment="1">
      <alignment vertical="center"/>
    </xf>
    <xf numFmtId="0" fontId="1" fillId="2" borderId="29" xfId="0" applyFont="1" applyFill="1" applyBorder="1" applyAlignment="1">
      <alignment vertical="center"/>
    </xf>
    <xf numFmtId="0" fontId="2" fillId="3" borderId="30" xfId="0" applyFont="1" applyFill="1" applyBorder="1" applyAlignment="1">
      <alignment vertical="center" wrapText="1"/>
    </xf>
    <xf numFmtId="0" fontId="2" fillId="3" borderId="31" xfId="0" applyFont="1" applyFill="1" applyBorder="1" applyAlignment="1">
      <alignment vertical="center" wrapText="1"/>
    </xf>
    <xf numFmtId="0" fontId="1" fillId="2" borderId="30" xfId="0" applyFont="1" applyFill="1" applyBorder="1" applyAlignment="1">
      <alignment vertical="center"/>
    </xf>
    <xf numFmtId="0" fontId="1" fillId="2" borderId="31" xfId="0" applyFont="1" applyFill="1" applyBorder="1" applyAlignment="1">
      <alignment vertical="center"/>
    </xf>
    <xf numFmtId="0" fontId="2" fillId="3" borderId="31" xfId="0" applyFont="1" applyFill="1" applyBorder="1" applyAlignment="1">
      <alignment vertical="center"/>
    </xf>
    <xf numFmtId="0" fontId="2" fillId="3" borderId="32" xfId="0" applyFont="1" applyFill="1" applyBorder="1" applyAlignment="1">
      <alignment vertical="center" wrapText="1"/>
    </xf>
    <xf numFmtId="0" fontId="2" fillId="3" borderId="33" xfId="0" applyFont="1" applyFill="1" applyBorder="1" applyAlignment="1">
      <alignment vertical="center" wrapText="1"/>
    </xf>
    <xf numFmtId="0" fontId="1" fillId="2" borderId="34" xfId="0" applyFont="1" applyFill="1" applyBorder="1" applyAlignment="1">
      <alignment vertical="center"/>
    </xf>
    <xf numFmtId="0" fontId="2" fillId="3" borderId="35" xfId="0" applyFont="1" applyFill="1" applyBorder="1" applyAlignment="1">
      <alignment vertical="center" wrapText="1"/>
    </xf>
    <xf numFmtId="0" fontId="1" fillId="2" borderId="35" xfId="0" applyFont="1" applyFill="1" applyBorder="1" applyAlignment="1">
      <alignment vertical="center"/>
    </xf>
    <xf numFmtId="0" fontId="2" fillId="3" borderId="36" xfId="0" applyFont="1" applyFill="1" applyBorder="1" applyAlignment="1">
      <alignment vertical="center" wrapText="1"/>
    </xf>
    <xf numFmtId="0" fontId="0" fillId="0" borderId="0" xfId="0" applyAlignment="1">
      <alignment horizontal="center" vertical="center"/>
    </xf>
    <xf numFmtId="0" fontId="2" fillId="3" borderId="20" xfId="0" applyFont="1" applyFill="1" applyBorder="1" applyAlignment="1">
      <alignment horizontal="center" vertical="center" wrapText="1"/>
    </xf>
    <xf numFmtId="0" fontId="1" fillId="2" borderId="20" xfId="0" applyFont="1" applyFill="1" applyBorder="1" applyAlignment="1">
      <alignment horizontal="center" vertical="center" wrapText="1"/>
    </xf>
    <xf numFmtId="10" fontId="1" fillId="2" borderId="8" xfId="0" applyNumberFormat="1" applyFont="1" applyFill="1" applyBorder="1" applyAlignment="1">
      <alignment horizontal="center" vertical="center" wrapText="1"/>
    </xf>
    <xf numFmtId="10" fontId="1" fillId="2" borderId="4" xfId="0" applyNumberFormat="1" applyFont="1" applyFill="1" applyBorder="1" applyAlignment="1">
      <alignment horizontal="center" vertical="center" wrapText="1"/>
    </xf>
    <xf numFmtId="0" fontId="1" fillId="2" borderId="8" xfId="0" applyFont="1" applyFill="1" applyBorder="1" applyAlignment="1" quotePrefix="1">
      <alignment horizontal="center" vertical="center"/>
    </xf>
  </cellXfs>
  <cellStyles count="49">
    <cellStyle name="Normal" xfId="0" builtinId="0"/>
    <cellStyle name="60% - Ênfase 6" xfId="1" builtinId="52"/>
    <cellStyle name="40% - Ênfase 6" xfId="2" builtinId="51"/>
    <cellStyle name="20% - Ênfase 6" xfId="3" builtinId="50"/>
    <cellStyle name="40% - Ênfase 5" xfId="4" builtinId="47"/>
    <cellStyle name="Ênfase 5" xfId="5" builtinId="45"/>
    <cellStyle name="Ênfase 4" xfId="6" builtinId="41"/>
    <cellStyle name="Título 4" xfId="7" builtinId="19"/>
    <cellStyle name="60% - Ênfase 3" xfId="8" builtinId="40"/>
    <cellStyle name="20% - Ênfase 3" xfId="9" builtinId="38"/>
    <cellStyle name="Ênfase 3" xfId="10" builtinId="37"/>
    <cellStyle name="Título 3" xfId="11" builtinId="18"/>
    <cellStyle name="60% - Ênfase 2" xfId="12" builtinId="36"/>
    <cellStyle name="Célula de Verificação" xfId="13" builtinId="23"/>
    <cellStyle name="40% - Ênfase 2" xfId="14" builtinId="35"/>
    <cellStyle name="60% - Ênfase 5" xfId="15" builtinId="48"/>
    <cellStyle name="Ênfase 2" xfId="16" builtinId="33"/>
    <cellStyle name="Ênfase 6" xfId="17" builtinId="49"/>
    <cellStyle name="40% - Ênfase 1" xfId="18" builtinId="31"/>
    <cellStyle name="20% - Ênfase 1" xfId="19" builtinId="30"/>
    <cellStyle name="60% - Ênfase 4" xfId="20" builtinId="44"/>
    <cellStyle name="Ênfase 1" xfId="21" builtinId="29"/>
    <cellStyle name="40% - Ênfase 4" xfId="22" builtinId="43"/>
    <cellStyle name="Ruim" xfId="23" builtinId="27"/>
    <cellStyle name="20% - Ênfase 4" xfId="24" builtinId="42"/>
    <cellStyle name="Saída" xfId="25" builtinId="21"/>
    <cellStyle name="Hyperlink seguido" xfId="26" builtinId="9"/>
    <cellStyle name="Moeda [0]" xfId="27" builtinId="7"/>
    <cellStyle name="Total" xfId="28" builtinId="25"/>
    <cellStyle name="Bom" xfId="29" builtinId="26"/>
    <cellStyle name="40% - Ênfase 3" xfId="30" builtinId="39"/>
    <cellStyle name="Texto de Aviso" xfId="31" builtinId="11"/>
    <cellStyle name="Cálculo" xfId="32" builtinId="22"/>
    <cellStyle name="Entrada" xfId="33" builtinId="20"/>
    <cellStyle name="Texto Explicativo" xfId="34" builtinId="53"/>
    <cellStyle name="Título 1" xfId="35" builtinId="16"/>
    <cellStyle name="Título" xfId="36" builtinId="15"/>
    <cellStyle name="Observação" xfId="37" builtinId="10"/>
    <cellStyle name="20% - Ênfase 2" xfId="38" builtinId="34"/>
    <cellStyle name="60% - Ênfase 1" xfId="39" builtinId="32"/>
    <cellStyle name="Título 2" xfId="40" builtinId="17"/>
    <cellStyle name="Hyperlink" xfId="41" builtinId="8"/>
    <cellStyle name="Célula Vinculada" xfId="42" builtinId="24"/>
    <cellStyle name="Comma" xfId="43" builtinId="3"/>
    <cellStyle name="Porcentagem" xfId="44" builtinId="5"/>
    <cellStyle name="Neutro" xfId="45" builtinId="28"/>
    <cellStyle name="20% - Ênfase 5" xfId="46" builtinId="46"/>
    <cellStyle name="Moeda" xfId="47" builtinId="4"/>
    <cellStyle name="Comma [0]" xfId="48" builtinId="6"/>
  </cellStyles>
  <dxfs count="28">
    <dxf>
      <font>
        <name val="Palatino Linotype"/>
        <scheme val="none"/>
        <family val="1"/>
        <b val="0"/>
        <i val="0"/>
        <strike val="0"/>
        <u val="none"/>
        <sz val="9"/>
        <color rgb="FF231F20"/>
      </font>
      <fill>
        <patternFill patternType="solid">
          <bgColor theme="0"/>
        </patternFill>
      </fill>
      <alignment horizontal="center" vertical="center" wrapText="1"/>
      <border>
        <left/>
        <right style="thin">
          <color auto="1"/>
        </right>
        <top style="thin">
          <color auto="1"/>
        </top>
        <bottom style="thin">
          <color auto="1"/>
        </bottom>
      </border>
    </dxf>
    <dxf>
      <font>
        <name val="Palatino Linotype"/>
        <scheme val="none"/>
        <family val="1"/>
        <b val="0"/>
        <i val="0"/>
        <strike val="0"/>
        <u val="none"/>
        <sz val="9"/>
        <color rgb="FF231F20"/>
      </font>
      <fill>
        <patternFill patternType="solid">
          <bgColor theme="0"/>
        </patternFill>
      </fill>
      <alignment horizontal="center" vertical="center" wrapText="1"/>
      <border>
        <left/>
        <right style="thin">
          <color auto="1"/>
        </right>
        <top style="thin">
          <color auto="1"/>
        </top>
        <bottom style="thin">
          <color auto="1"/>
        </bottom>
      </border>
    </dxf>
    <dxf>
      <font>
        <name val="Palatino Linotype"/>
        <scheme val="none"/>
        <family val="1"/>
        <b val="0"/>
        <i val="0"/>
        <strike val="0"/>
        <u val="none"/>
        <sz val="9"/>
        <color rgb="FF231F20"/>
      </font>
      <fill>
        <patternFill patternType="solid">
          <bgColor theme="0"/>
        </patternFill>
      </fill>
      <alignment horizontal="center" vertical="center" wrapText="1"/>
      <border>
        <left style="thin">
          <color auto="1"/>
        </left>
        <right style="thin">
          <color auto="1"/>
        </right>
        <top style="thin">
          <color auto="1"/>
        </top>
        <bottom style="thin">
          <color auto="1"/>
        </bottom>
      </border>
    </dxf>
    <dxf>
      <font>
        <name val="Palatino Linotype"/>
        <scheme val="none"/>
        <family val="1"/>
        <b val="0"/>
        <i val="0"/>
        <strike val="0"/>
        <u val="none"/>
        <sz val="9"/>
        <color rgb="FF231F20"/>
      </font>
      <numFmt numFmtId="0" formatCode="General"/>
      <fill>
        <patternFill patternType="solid">
          <bgColor theme="0"/>
        </patternFill>
      </fill>
      <alignment horizontal="center" vertical="center" wrapText="1"/>
      <border>
        <left style="thin">
          <color auto="1"/>
        </left>
        <right/>
        <top style="thin">
          <color auto="1"/>
        </top>
        <bottom style="thin">
          <color auto="1"/>
        </bottom>
      </border>
    </dxf>
    <dxf>
      <font>
        <name val="Palatino Linotype"/>
        <scheme val="none"/>
        <family val="1"/>
        <b val="0"/>
        <i val="0"/>
        <strike val="0"/>
        <u val="none"/>
        <sz val="9"/>
        <color rgb="FF231F20"/>
      </font>
      <fill>
        <patternFill patternType="solid">
          <bgColor theme="0"/>
        </patternFill>
      </fill>
      <alignment horizontal="center" vertical="center" wrapText="1"/>
      <border>
        <left/>
        <right style="thin">
          <color auto="1"/>
        </right>
        <top style="thin">
          <color auto="1"/>
        </top>
        <bottom style="thin">
          <color auto="1"/>
        </bottom>
      </border>
    </dxf>
    <dxf>
      <font>
        <name val="Palatino Linotype"/>
        <scheme val="none"/>
        <family val="1"/>
        <b val="0"/>
        <i val="0"/>
        <strike val="0"/>
        <u val="none"/>
        <sz val="9"/>
        <color rgb="FF231F20"/>
      </font>
      <fill>
        <patternFill patternType="solid">
          <bgColor theme="0"/>
        </patternFill>
      </fill>
      <alignment horizontal="center" vertical="center" wrapText="1"/>
      <border>
        <left style="thin">
          <color auto="1"/>
        </left>
        <right style="thin">
          <color auto="1"/>
        </right>
        <top style="thin">
          <color auto="1"/>
        </top>
        <bottom style="thin">
          <color auto="1"/>
        </bottom>
      </border>
    </dxf>
    <dxf>
      <font>
        <name val="Palatino Linotype"/>
        <scheme val="none"/>
        <family val="1"/>
        <b val="0"/>
        <i val="0"/>
        <strike val="0"/>
        <u val="none"/>
        <sz val="9"/>
        <color rgb="FF231F20"/>
      </font>
      <fill>
        <patternFill patternType="solid">
          <bgColor theme="0"/>
        </patternFill>
      </fill>
      <alignment horizontal="center" vertical="center" wrapText="1"/>
      <border>
        <left style="thin">
          <color auto="1"/>
        </left>
        <right style="thin">
          <color auto="1"/>
        </right>
        <top style="thin">
          <color auto="1"/>
        </top>
        <bottom style="thin">
          <color auto="1"/>
        </bottom>
      </border>
    </dxf>
    <dxf>
      <font>
        <name val="Palatino Linotype"/>
        <scheme val="none"/>
        <family val="1"/>
        <b val="0"/>
        <i val="0"/>
        <strike val="0"/>
        <u val="none"/>
        <sz val="9"/>
        <color rgb="FF231F20"/>
      </font>
      <numFmt numFmtId="0" formatCode="General"/>
      <fill>
        <patternFill patternType="solid">
          <bgColor theme="0"/>
        </patternFill>
      </fill>
      <alignment horizontal="center" vertical="center" wrapText="1"/>
      <border>
        <left style="thin">
          <color auto="1"/>
        </left>
        <right style="thin">
          <color auto="1"/>
        </right>
        <top style="thin">
          <color auto="1"/>
        </top>
        <bottom style="thin">
          <color auto="1"/>
        </bottom>
      </border>
    </dxf>
    <dxf>
      <font>
        <name val="Palatino Linotype"/>
        <scheme val="none"/>
        <family val="1"/>
        <b val="0"/>
        <i val="0"/>
        <strike val="0"/>
        <u val="none"/>
        <sz val="9"/>
        <color rgb="FF231F20"/>
      </font>
      <numFmt numFmtId="0" formatCode="General"/>
      <fill>
        <patternFill patternType="solid">
          <bgColor theme="0"/>
        </patternFill>
      </fill>
      <alignment horizontal="center" vertical="center" wrapText="1"/>
      <border>
        <left style="thin">
          <color auto="1"/>
        </left>
        <right style="thin">
          <color auto="1"/>
        </right>
        <top style="thin">
          <color auto="1"/>
        </top>
        <bottom style="thin">
          <color auto="1"/>
        </bottom>
      </border>
    </dxf>
    <dxf>
      <font>
        <name val="Palatino Linotype"/>
        <scheme val="none"/>
        <family val="1"/>
        <b val="0"/>
        <i val="0"/>
        <strike val="0"/>
        <u val="none"/>
        <sz val="9"/>
        <color rgb="FF231F20"/>
      </font>
      <fill>
        <patternFill patternType="solid">
          <bgColor theme="0"/>
        </patternFill>
      </fill>
      <alignment horizontal="center" vertical="center" wrapText="1"/>
      <border>
        <left style="thin">
          <color auto="1"/>
        </left>
        <right style="thin">
          <color auto="1"/>
        </right>
        <top style="thin">
          <color auto="1"/>
        </top>
        <bottom style="thin">
          <color auto="1"/>
        </bottom>
      </border>
    </dxf>
    <dxf>
      <font>
        <name val="Palatino Linotype"/>
        <scheme val="none"/>
        <family val="1"/>
        <b val="0"/>
        <i val="0"/>
        <strike val="0"/>
        <u val="none"/>
        <sz val="9"/>
        <color rgb="FF231F20"/>
      </font>
      <fill>
        <patternFill patternType="solid">
          <bgColor theme="0"/>
        </patternFill>
      </fill>
      <alignment horizontal="center" vertical="center" wrapText="1"/>
      <border>
        <left style="thin">
          <color auto="1"/>
        </left>
        <right style="thin">
          <color auto="1"/>
        </right>
        <top style="thin">
          <color auto="1"/>
        </top>
        <bottom style="thin">
          <color auto="1"/>
        </bottom>
      </border>
    </dxf>
    <dxf>
      <font>
        <name val="Palatino Linotype"/>
        <scheme val="none"/>
        <family val="1"/>
        <b val="0"/>
        <i val="0"/>
        <strike val="0"/>
        <u val="none"/>
        <sz val="9"/>
        <color rgb="FF231F20"/>
      </font>
      <fill>
        <patternFill patternType="solid">
          <bgColor theme="0"/>
        </patternFill>
      </fill>
      <alignment horizontal="center" vertical="center" wrapText="1"/>
      <border>
        <left style="thin">
          <color auto="1"/>
        </left>
        <right style="thin">
          <color auto="1"/>
        </right>
        <top style="thin">
          <color auto="1"/>
        </top>
        <bottom style="thin">
          <color auto="1"/>
        </bottom>
      </border>
    </dxf>
    <dxf>
      <font>
        <name val="Palatino Linotype"/>
        <scheme val="none"/>
        <family val="1"/>
        <b val="0"/>
        <i val="0"/>
        <strike val="0"/>
        <u val="none"/>
        <sz val="9"/>
        <color rgb="FF231F20"/>
      </font>
      <numFmt numFmtId="0" formatCode="General"/>
      <fill>
        <patternFill patternType="solid">
          <bgColor theme="0"/>
        </patternFill>
      </fill>
      <alignment horizontal="center" vertical="center" wrapText="1"/>
      <border>
        <left style="thin">
          <color auto="1"/>
        </left>
        <right style="thin">
          <color auto="1"/>
        </right>
        <top style="thin">
          <color auto="1"/>
        </top>
        <bottom style="thin">
          <color auto="1"/>
        </bottom>
      </border>
    </dxf>
    <dxf>
      <font>
        <name val="Palatino Linotype"/>
        <scheme val="none"/>
        <family val="1"/>
        <b val="0"/>
        <i val="0"/>
        <strike val="0"/>
        <u val="none"/>
        <sz val="9"/>
        <color rgb="FF231F20"/>
      </font>
      <fill>
        <patternFill patternType="solid">
          <bgColor theme="0"/>
        </patternFill>
      </fill>
      <alignment horizontal="center" vertical="center" wrapText="1"/>
      <border>
        <left style="thin">
          <color auto="1"/>
        </left>
        <right style="thin">
          <color auto="1"/>
        </right>
        <top style="thin">
          <color auto="1"/>
        </top>
        <bottom style="thin">
          <color auto="1"/>
        </bottom>
      </border>
    </dxf>
    <dxf>
      <font>
        <name val="Palatino Linotype"/>
        <scheme val="none"/>
        <family val="1"/>
        <b val="0"/>
        <i val="0"/>
        <strike val="0"/>
        <u val="none"/>
        <sz val="9"/>
        <color rgb="FF231F20"/>
      </font>
      <fill>
        <patternFill patternType="solid">
          <bgColor theme="0"/>
        </patternFill>
      </fill>
      <alignment horizontal="center" vertical="center" wrapText="1"/>
      <border>
        <left style="thin">
          <color auto="1"/>
        </left>
        <right style="thin">
          <color auto="1"/>
        </right>
        <top style="thin">
          <color auto="1"/>
        </top>
        <bottom style="thin">
          <color auto="1"/>
        </bottom>
      </border>
    </dxf>
    <dxf>
      <font>
        <name val="Palatino Linotype"/>
        <scheme val="none"/>
        <family val="1"/>
        <b val="0"/>
        <i val="0"/>
        <strike val="0"/>
        <u val="none"/>
        <sz val="9"/>
        <color rgb="FF231F20"/>
      </font>
      <fill>
        <patternFill patternType="solid">
          <bgColor theme="0"/>
        </patternFill>
      </fill>
      <alignment horizontal="center" vertical="center" wrapText="1"/>
      <border>
        <left style="thin">
          <color auto="1"/>
        </left>
        <right/>
        <top style="thin">
          <color auto="1"/>
        </top>
        <bottom style="thin">
          <color auto="1"/>
        </bottom>
      </border>
    </dxf>
    <dxf>
      <font>
        <name val="Palatino Linotype"/>
        <scheme val="none"/>
        <family val="1"/>
        <b val="0"/>
        <i val="0"/>
        <strike val="0"/>
        <u val="none"/>
        <sz val="9"/>
        <color rgb="FF231F20"/>
      </font>
      <fill>
        <patternFill patternType="solid">
          <bgColor theme="0"/>
        </patternFill>
      </fill>
      <alignment horizontal="center" vertical="center" wrapText="1"/>
      <border>
        <left/>
        <right style="thin">
          <color auto="1"/>
        </right>
        <top style="thin">
          <color auto="1"/>
        </top>
        <bottom style="thin">
          <color auto="1"/>
        </bottom>
      </border>
    </dxf>
    <dxf>
      <font>
        <name val="Palatino Linotype"/>
        <scheme val="none"/>
        <family val="1"/>
        <b val="0"/>
        <i val="0"/>
        <strike val="0"/>
        <u val="none"/>
        <sz val="9"/>
        <color rgb="FF231F20"/>
      </font>
      <fill>
        <patternFill patternType="solid">
          <bgColor theme="0"/>
        </patternFill>
      </fill>
      <alignment horizontal="center" vertical="center" wrapText="1"/>
      <border>
        <left style="thin">
          <color auto="1"/>
        </left>
        <right style="thin">
          <color auto="1"/>
        </right>
        <top style="thin">
          <color auto="1"/>
        </top>
        <bottom style="thin">
          <color auto="1"/>
        </bottom>
      </border>
    </dxf>
    <dxf>
      <font>
        <name val="Palatino Linotype"/>
        <scheme val="none"/>
        <family val="1"/>
        <b val="0"/>
        <i val="0"/>
        <strike val="0"/>
        <u val="none"/>
        <sz val="9"/>
        <color rgb="FF231F20"/>
      </font>
      <fill>
        <patternFill patternType="solid">
          <bgColor theme="0"/>
        </patternFill>
      </fill>
      <alignment horizontal="center" vertical="center" wrapText="1"/>
      <border>
        <left style="thin">
          <color auto="1"/>
        </left>
        <right style="thin">
          <color auto="1"/>
        </right>
        <top style="thin">
          <color auto="1"/>
        </top>
        <bottom style="thin">
          <color auto="1"/>
        </bottom>
      </border>
    </dxf>
    <dxf>
      <font>
        <name val="Palatino Linotype"/>
        <scheme val="none"/>
        <family val="1"/>
        <b val="0"/>
        <i val="0"/>
        <strike val="0"/>
        <u val="none"/>
        <sz val="9"/>
        <color rgb="FF231F20"/>
      </font>
      <numFmt numFmtId="0" formatCode="General"/>
      <fill>
        <patternFill patternType="solid">
          <bgColor theme="0"/>
        </patternFill>
      </fill>
      <alignment horizontal="center" vertical="center" wrapText="1"/>
      <border>
        <left style="thin">
          <color auto="1"/>
        </left>
        <right style="thin">
          <color auto="1"/>
        </right>
        <top style="thin">
          <color auto="1"/>
        </top>
        <bottom style="thin">
          <color auto="1"/>
        </bottom>
      </border>
    </dxf>
    <dxf>
      <font>
        <name val="Palatino Linotype"/>
        <scheme val="none"/>
        <family val="1"/>
        <b val="0"/>
        <i val="0"/>
        <strike val="0"/>
        <u val="none"/>
        <sz val="9"/>
        <color rgb="FF231F20"/>
      </font>
      <numFmt numFmtId="0" formatCode="General"/>
      <fill>
        <patternFill patternType="solid">
          <bgColor theme="0"/>
        </patternFill>
      </fill>
      <alignment horizontal="center" vertical="center" wrapText="1"/>
      <border>
        <left style="thin">
          <color auto="1"/>
        </left>
        <right style="thin">
          <color auto="1"/>
        </right>
        <top style="thin">
          <color auto="1"/>
        </top>
        <bottom style="thin">
          <color auto="1"/>
        </bottom>
      </border>
    </dxf>
    <dxf>
      <font>
        <name val="Palatino Linotype"/>
        <scheme val="none"/>
        <family val="1"/>
        <b val="0"/>
        <i val="0"/>
        <strike val="0"/>
        <u val="none"/>
        <sz val="9"/>
        <color rgb="FF231F20"/>
      </font>
      <fill>
        <patternFill patternType="solid">
          <bgColor theme="0"/>
        </patternFill>
      </fill>
      <alignment horizontal="center" vertical="center" wrapText="1"/>
      <border>
        <left style="thin">
          <color auto="1"/>
        </left>
        <right style="thin">
          <color auto="1"/>
        </right>
        <top style="thin">
          <color auto="1"/>
        </top>
        <bottom style="thin">
          <color auto="1"/>
        </bottom>
      </border>
    </dxf>
    <dxf>
      <font>
        <name val="Palatino Linotype"/>
        <scheme val="none"/>
        <family val="1"/>
        <b val="0"/>
        <i val="0"/>
        <strike val="0"/>
        <u val="none"/>
        <sz val="9"/>
        <color rgb="FF231F20"/>
      </font>
      <fill>
        <patternFill patternType="solid">
          <bgColor theme="0"/>
        </patternFill>
      </fill>
      <alignment horizontal="center" vertical="center" wrapText="1"/>
      <border>
        <left style="thin">
          <color auto="1"/>
        </left>
        <right style="thin">
          <color auto="1"/>
        </right>
        <top style="thin">
          <color auto="1"/>
        </top>
        <bottom style="thin">
          <color auto="1"/>
        </bottom>
      </border>
    </dxf>
    <dxf>
      <font>
        <name val="Palatino Linotype"/>
        <scheme val="none"/>
        <family val="1"/>
        <b val="0"/>
        <i val="0"/>
        <strike val="0"/>
        <u val="none"/>
        <sz val="9"/>
        <color rgb="FF231F20"/>
      </font>
      <fill>
        <patternFill patternType="solid">
          <bgColor theme="0"/>
        </patternFill>
      </fill>
      <alignment horizontal="center" vertical="center" wrapText="1"/>
      <border>
        <left style="thin">
          <color auto="1"/>
        </left>
        <right style="thin">
          <color auto="1"/>
        </right>
        <top style="thin">
          <color auto="1"/>
        </top>
        <bottom style="thin">
          <color auto="1"/>
        </bottom>
      </border>
    </dxf>
    <dxf>
      <font>
        <name val="Palatino Linotype"/>
        <scheme val="none"/>
        <family val="1"/>
        <b val="0"/>
        <i val="0"/>
        <strike val="0"/>
        <u val="none"/>
        <sz val="9"/>
        <color rgb="FF231F20"/>
      </font>
      <numFmt numFmtId="0" formatCode="General"/>
      <fill>
        <patternFill patternType="solid">
          <bgColor theme="0"/>
        </patternFill>
      </fill>
      <alignment horizontal="center" vertical="center" wrapText="1"/>
      <border>
        <left style="thin">
          <color auto="1"/>
        </left>
        <right style="thin">
          <color auto="1"/>
        </right>
        <top style="thin">
          <color auto="1"/>
        </top>
        <bottom style="thin">
          <color auto="1"/>
        </bottom>
      </border>
    </dxf>
    <dxf>
      <font>
        <name val="Palatino Linotype"/>
        <scheme val="none"/>
        <family val="1"/>
        <b val="0"/>
        <i val="0"/>
        <strike val="0"/>
        <u val="none"/>
        <sz val="9"/>
        <color rgb="FF231F20"/>
      </font>
      <fill>
        <patternFill patternType="solid">
          <bgColor theme="0"/>
        </patternFill>
      </fill>
      <alignment horizontal="center" vertical="center" wrapText="1"/>
      <border>
        <left style="thin">
          <color auto="1"/>
        </left>
        <right style="thin">
          <color auto="1"/>
        </right>
        <top style="thin">
          <color auto="1"/>
        </top>
        <bottom style="thin">
          <color auto="1"/>
        </bottom>
      </border>
    </dxf>
    <dxf>
      <font>
        <name val="Palatino Linotype"/>
        <scheme val="none"/>
        <family val="1"/>
        <b val="0"/>
        <i val="0"/>
        <strike val="0"/>
        <u val="none"/>
        <sz val="9"/>
        <color rgb="FF231F20"/>
      </font>
      <fill>
        <patternFill patternType="solid">
          <bgColor theme="0"/>
        </patternFill>
      </fill>
      <alignment horizontal="center" vertical="center" wrapText="1"/>
      <border>
        <left style="thin">
          <color auto="1"/>
        </left>
        <right style="thin">
          <color auto="1"/>
        </right>
        <top style="thin">
          <color auto="1"/>
        </top>
        <bottom style="thin">
          <color auto="1"/>
        </bottom>
      </border>
    </dxf>
    <dxf>
      <font>
        <name val="Palatino Linotype"/>
        <scheme val="none"/>
        <family val="1"/>
        <b val="0"/>
        <i val="0"/>
        <strike val="0"/>
        <u val="none"/>
        <sz val="9"/>
        <color rgb="FF231F20"/>
      </font>
      <fill>
        <patternFill patternType="solid">
          <bgColor theme="0"/>
        </patternFill>
      </fill>
      <alignment horizontal="center" vertical="center" wrapText="1"/>
      <border>
        <left style="thin">
          <color auto="1"/>
        </left>
        <right/>
        <top style="thin">
          <color auto="1"/>
        </top>
        <bottom style="thin">
          <color auto="1"/>
        </bottom>
      </border>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theme" Target="theme/theme1.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1" Type="http://schemas.openxmlformats.org/officeDocument/2006/relationships/sharedStrings" Target="sharedStrings.xml"/><Relationship Id="rId10" Type="http://schemas.openxmlformats.org/officeDocument/2006/relationships/styles" Target="styles.xml"/><Relationship Id="rId1" Type="http://schemas.openxmlformats.org/officeDocument/2006/relationships/worksheet" Target="worksheets/sheet1.xml"/></Relationships>
</file>

<file path=xl/tables/table1.xml><?xml version="1.0" encoding="utf-8"?>
<table xmlns="http://schemas.openxmlformats.org/spreadsheetml/2006/main" id="2" name="Tabela2" displayName="Tabela2" ref="B2:E35" totalsRowShown="0">
  <autoFilter ref="B2:E35"/>
  <tableColumns count="4">
    <tableColumn id="1" name="Magia" dataDxfId="0"/>
    <tableColumn id="4" name="Tipo" dataDxfId="1"/>
    <tableColumn id="2" name="Círculo" dataDxfId="2"/>
    <tableColumn id="3" name="Custo" dataDxfId="3"/>
  </tableColumns>
  <tableStyleInfo name="TableStyleLight9" showFirstColumn="0" showLastColumn="0" showRowStripes="1" showColumnStripes="0"/>
</table>
</file>

<file path=xl/tables/table2.xml><?xml version="1.0" encoding="utf-8"?>
<table xmlns="http://schemas.openxmlformats.org/spreadsheetml/2006/main" id="1" name="Tabela1" displayName="Tabela1" ref="B2:M33" totalsRowShown="0">
  <autoFilter ref="B2:M33"/>
  <sortState ref="B2:M33">
    <sortCondition ref="B2:B33"/>
  </sortState>
  <tableColumns count="12">
    <tableColumn id="1" name="Perícia" dataDxfId="4"/>
    <tableColumn id="11" name="ATR" dataDxfId="5"/>
    <tableColumn id="2" name="MOD" dataDxfId="6"/>
    <tableColumn id="3" name="1/2 Nível" dataDxfId="7"/>
    <tableColumn id="4" name="Treino" dataDxfId="8"/>
    <tableColumn id="10" name="Raça" dataDxfId="9"/>
    <tableColumn id="5" name="Bônus" dataDxfId="10"/>
    <tableColumn id="9" name="Bônus Habilidade" dataDxfId="11"/>
    <tableColumn id="6" name="Total" dataDxfId="12"/>
    <tableColumn id="7" name="Treinada?" dataDxfId="13"/>
    <tableColumn id="12" name="Somente Treinada?" dataDxfId="14"/>
    <tableColumn id="8" name="Penalidade de Armadura?" dataDxfId="15"/>
  </tableColumns>
  <tableStyleInfo name="TableStyleLight9" showFirstColumn="0" showLastColumn="0" showRowStripes="1" showColumnStripes="0"/>
</table>
</file>

<file path=xl/tables/table3.xml><?xml version="1.0" encoding="utf-8"?>
<table xmlns="http://schemas.openxmlformats.org/spreadsheetml/2006/main" id="3" name="Tabela14" displayName="Tabela14" ref="B2:M33" totalsRowShown="0">
  <autoFilter ref="B2:M33"/>
  <sortState ref="B2:M33">
    <sortCondition ref="B2:B33"/>
  </sortState>
  <tableColumns count="12">
    <tableColumn id="1" name="Perícia" dataDxfId="16"/>
    <tableColumn id="11" name="ATR" dataDxfId="17"/>
    <tableColumn id="2" name="MOD" dataDxfId="18"/>
    <tableColumn id="3" name="1/2 Nível" dataDxfId="19"/>
    <tableColumn id="4" name="Treino" dataDxfId="20"/>
    <tableColumn id="10" name="Raça" dataDxfId="21"/>
    <tableColumn id="5" name="Bônus" dataDxfId="22"/>
    <tableColumn id="9" name="Bônus Habilidade" dataDxfId="23"/>
    <tableColumn id="6" name="Total" dataDxfId="24"/>
    <tableColumn id="7" name="Treinada?" dataDxfId="25"/>
    <tableColumn id="12" name="Somente Treinada?" dataDxfId="26"/>
    <tableColumn id="8" name="Penalidade de Armadura?" dataDxfId="27"/>
  </tableColumns>
  <tableStyleInfo name="TableStyleLight9" showFirstColumn="0" showLastColumn="0" showRowStripes="1" showColumnStripes="0"/>
</table>
</file>

<file path=xl/theme/theme1.xml><?xml version="1.0" encoding="utf-8"?>
<a:theme xmlns:a="http://schemas.openxmlformats.org/drawingml/2006/main" name="Tema do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Aptos Narrow"/>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theme>
</file>

<file path=xl/worksheets/_rels/sheet2.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table" Target="../tables/table2.xml"/></Relationships>
</file>

<file path=xl/worksheets/_rels/sheet7.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1:N41"/>
  <sheetViews>
    <sheetView tabSelected="1" zoomScale="130" zoomScaleNormal="130" workbookViewId="0">
      <selection activeCell="E18" sqref="E18"/>
    </sheetView>
  </sheetViews>
  <sheetFormatPr defaultColWidth="9" defaultRowHeight="13.5"/>
  <cols>
    <col min="2" max="2" width="12.425" customWidth="1"/>
    <col min="3" max="3" width="6.14166666666667" customWidth="1"/>
    <col min="4" max="4" width="13.2833333333333" customWidth="1"/>
    <col min="6" max="6" width="14.5666666666667" customWidth="1"/>
    <col min="7" max="8" width="7.85833333333333" customWidth="1"/>
    <col min="9" max="9" width="6" customWidth="1"/>
    <col min="11" max="11" width="16" customWidth="1"/>
    <col min="14" max="14" width="36.425" customWidth="1"/>
  </cols>
  <sheetData>
    <row r="1" ht="14.25"/>
    <row r="2" ht="15.75" customHeight="1" spans="2:14">
      <c r="B2" s="35" t="s">
        <v>0</v>
      </c>
      <c r="C2" s="48"/>
      <c r="D2" s="36" t="s">
        <v>1</v>
      </c>
      <c r="F2" s="35" t="s">
        <v>2</v>
      </c>
      <c r="G2" s="48">
        <f>VLOOKUP(G10,'uns dados aí'!$H$2:$I$22,2,TRUE)</f>
        <v>1</v>
      </c>
      <c r="H2" s="36"/>
      <c r="K2" s="35" t="s">
        <v>3</v>
      </c>
      <c r="L2" s="48"/>
      <c r="M2" s="48"/>
      <c r="N2" s="36"/>
    </row>
    <row r="3" ht="14.25" spans="2:14">
      <c r="B3" s="38" t="s">
        <v>4</v>
      </c>
      <c r="C3" s="27">
        <f>'uns dados aí'!C3+(VLOOKUP(B3,Perícias!$O$7:$P$13,2,FALSE))</f>
        <v>16</v>
      </c>
      <c r="D3" s="39">
        <f t="shared" ref="D3:D8" si="0">ROUNDDOWN((C3-10)/2,0)</f>
        <v>3</v>
      </c>
      <c r="F3" s="38" t="s">
        <v>5</v>
      </c>
      <c r="G3" s="27">
        <f>H3-L25-SUM(L4:L22)</f>
        <v>13</v>
      </c>
      <c r="H3" s="39">
        <f>'uns dados aí'!M2+((G2-1)*'uns dados aí'!C12)</f>
        <v>13</v>
      </c>
      <c r="K3" s="38" t="s">
        <v>6</v>
      </c>
      <c r="L3" s="27" t="s">
        <v>5</v>
      </c>
      <c r="M3" s="27" t="s">
        <v>7</v>
      </c>
      <c r="N3" s="39" t="s">
        <v>8</v>
      </c>
    </row>
    <row r="4" ht="15" spans="2:14">
      <c r="B4" s="41" t="s">
        <v>9</v>
      </c>
      <c r="C4" s="29">
        <f>'uns dados aí'!C4+(VLOOKUP(B4,Perícias!$O$7:$P$13,2,FALSE))</f>
        <v>17</v>
      </c>
      <c r="D4" s="42">
        <f t="shared" si="0"/>
        <v>3</v>
      </c>
      <c r="F4" s="41" t="s">
        <v>7</v>
      </c>
      <c r="G4" s="29">
        <f>H4-L26-SUM(M4:M22)</f>
        <v>5</v>
      </c>
      <c r="H4" s="42">
        <f>'uns dados aí'!C13*G2</f>
        <v>5</v>
      </c>
      <c r="K4" s="41">
        <v>1</v>
      </c>
      <c r="L4" s="29"/>
      <c r="M4" s="29"/>
      <c r="N4" s="42"/>
    </row>
    <row r="5" ht="14.25" spans="2:14">
      <c r="B5" s="38" t="s">
        <v>10</v>
      </c>
      <c r="C5" s="27">
        <f>'uns dados aí'!C5+(VLOOKUP(B5,Perícias!$O$7:$P$13,2,FALSE))</f>
        <v>13</v>
      </c>
      <c r="D5" s="39">
        <f t="shared" si="0"/>
        <v>1</v>
      </c>
      <c r="F5" s="38" t="s">
        <v>11</v>
      </c>
      <c r="G5" s="37">
        <f>10+D4+C16</f>
        <v>15</v>
      </c>
      <c r="H5" s="88"/>
      <c r="K5" s="38">
        <v>2</v>
      </c>
      <c r="L5" s="27"/>
      <c r="M5" s="27"/>
      <c r="N5" s="39"/>
    </row>
    <row r="6" ht="15" spans="2:14">
      <c r="B6" s="41" t="s">
        <v>12</v>
      </c>
      <c r="C6" s="29">
        <f>'uns dados aí'!C6+(VLOOKUP(B6,Perícias!$O$7:$P$13,2,FALSE))</f>
        <v>20</v>
      </c>
      <c r="D6" s="42">
        <f t="shared" si="0"/>
        <v>5</v>
      </c>
      <c r="F6" s="41" t="s">
        <v>13</v>
      </c>
      <c r="G6" s="40">
        <f>G5+Perícias!J12</f>
        <v>16</v>
      </c>
      <c r="H6" s="89"/>
      <c r="K6" s="41">
        <v>3</v>
      </c>
      <c r="L6" s="29"/>
      <c r="M6" s="29"/>
      <c r="N6" s="42"/>
    </row>
    <row r="7" ht="14.25" spans="2:14">
      <c r="B7" s="38" t="s">
        <v>14</v>
      </c>
      <c r="C7" s="27">
        <f>'uns dados aí'!C7+(VLOOKUP(B7,Perícias!$O$7:$P$13,2,FALSE))</f>
        <v>16</v>
      </c>
      <c r="D7" s="39">
        <f t="shared" si="0"/>
        <v>3</v>
      </c>
      <c r="F7" s="38" t="s">
        <v>15</v>
      </c>
      <c r="G7" s="37">
        <f>Perícias!J27+Perícias!J21</f>
        <v>12</v>
      </c>
      <c r="H7" s="88"/>
      <c r="K7" s="38">
        <v>4</v>
      </c>
      <c r="L7" s="27"/>
      <c r="M7" s="27"/>
      <c r="N7" s="39"/>
    </row>
    <row r="8" ht="15.75" spans="2:14">
      <c r="B8" s="45" t="s">
        <v>16</v>
      </c>
      <c r="C8" s="52">
        <f>'uns dados aí'!C8+(VLOOKUP(B8,Perícias!$O$7:$P$13,2,FALSE))</f>
        <v>14</v>
      </c>
      <c r="D8" s="46">
        <f t="shared" si="0"/>
        <v>2</v>
      </c>
      <c r="F8" s="41" t="s">
        <v>17</v>
      </c>
      <c r="G8" s="90">
        <v>0.5</v>
      </c>
      <c r="H8" s="91"/>
      <c r="K8" s="41">
        <v>5</v>
      </c>
      <c r="L8" s="29"/>
      <c r="M8" s="29"/>
      <c r="N8" s="42"/>
    </row>
    <row r="9" ht="15" spans="6:14">
      <c r="F9" s="38" t="s">
        <v>18</v>
      </c>
      <c r="G9" s="27"/>
      <c r="H9" s="39"/>
      <c r="K9" s="38">
        <v>6</v>
      </c>
      <c r="L9" s="27"/>
      <c r="M9" s="27"/>
      <c r="N9" s="39"/>
    </row>
    <row r="10" ht="15.75" spans="6:14">
      <c r="F10" s="45" t="s">
        <v>19</v>
      </c>
      <c r="G10" s="52">
        <v>0</v>
      </c>
      <c r="H10" s="46"/>
      <c r="K10" s="41">
        <v>7</v>
      </c>
      <c r="L10" s="29"/>
      <c r="M10" s="29"/>
      <c r="N10" s="42"/>
    </row>
    <row r="11" ht="15.75" spans="11:14">
      <c r="K11" s="38">
        <v>8</v>
      </c>
      <c r="L11" s="27"/>
      <c r="M11" s="27"/>
      <c r="N11" s="39"/>
    </row>
    <row r="12" ht="16.5" spans="2:14">
      <c r="B12" s="71" t="s">
        <v>20</v>
      </c>
      <c r="C12" s="72"/>
      <c r="D12" s="72"/>
      <c r="E12" s="72"/>
      <c r="F12" s="72"/>
      <c r="G12" s="72"/>
      <c r="H12" s="72"/>
      <c r="I12" s="73"/>
      <c r="K12" s="41">
        <v>9</v>
      </c>
      <c r="L12" s="29"/>
      <c r="M12" s="29"/>
      <c r="N12" s="42"/>
    </row>
    <row r="13" ht="15.75" spans="2:14">
      <c r="B13" s="87"/>
      <c r="K13" s="38">
        <v>10</v>
      </c>
      <c r="L13" s="27"/>
      <c r="M13" s="27"/>
      <c r="N13" s="39"/>
    </row>
    <row r="14" ht="15.75" spans="2:14">
      <c r="B14" s="35" t="s">
        <v>21</v>
      </c>
      <c r="C14" s="48"/>
      <c r="D14" s="36"/>
      <c r="F14" s="35" t="s">
        <v>22</v>
      </c>
      <c r="G14" s="48"/>
      <c r="H14" s="48"/>
      <c r="I14" s="36"/>
      <c r="K14" s="41">
        <v>11</v>
      </c>
      <c r="L14" s="29"/>
      <c r="M14" s="29"/>
      <c r="N14" s="42"/>
    </row>
    <row r="15" ht="14.25" spans="2:14">
      <c r="B15" s="38" t="s">
        <v>23</v>
      </c>
      <c r="C15" s="27" t="s">
        <v>24</v>
      </c>
      <c r="D15" s="39" t="s">
        <v>25</v>
      </c>
      <c r="F15" s="38" t="s">
        <v>23</v>
      </c>
      <c r="G15" s="27" t="s">
        <v>26</v>
      </c>
      <c r="H15" s="27" t="s">
        <v>27</v>
      </c>
      <c r="I15" s="39" t="s">
        <v>28</v>
      </c>
      <c r="K15" s="38">
        <v>12</v>
      </c>
      <c r="L15" s="27"/>
      <c r="M15" s="27"/>
      <c r="N15" s="39"/>
    </row>
    <row r="16" ht="30.75" spans="2:14">
      <c r="B16" s="45" t="s">
        <v>29</v>
      </c>
      <c r="C16" s="52">
        <f>IFERROR(VLOOKUP($B$16,Inventário!$B$3:$E$5,2,FALSE),"")</f>
        <v>2</v>
      </c>
      <c r="D16" s="46">
        <f>IFERROR(VLOOKUP($B$16,Inventário!$B$3:$E$5,3,FALSE),"")</f>
        <v>0</v>
      </c>
      <c r="F16" s="45" t="s">
        <v>30</v>
      </c>
      <c r="G16" s="52" t="str">
        <f>IFERROR(VLOOKUP($F$16,Inventário!$B$8:$E$13,2,FALSE),"")</f>
        <v>1d4</v>
      </c>
      <c r="H16" s="52">
        <f>IFERROR(VLOOKUP($F$16,Inventário!$B$8:$E$13,3,FALSE),"")</f>
        <v>0</v>
      </c>
      <c r="I16" s="46">
        <f>IFERROR(VLOOKUP($F$16,Inventário!$B$8:$E$13,4,FALSE),"")</f>
        <v>0</v>
      </c>
      <c r="K16" s="41">
        <v>13</v>
      </c>
      <c r="L16" s="29"/>
      <c r="M16" s="29"/>
      <c r="N16" s="42"/>
    </row>
    <row r="17" ht="15" spans="11:14">
      <c r="K17" s="38">
        <v>14</v>
      </c>
      <c r="L17" s="27"/>
      <c r="M17" s="27"/>
      <c r="N17" s="39"/>
    </row>
    <row r="18" ht="15.75" customHeight="1" spans="11:14">
      <c r="K18" s="41">
        <v>15</v>
      </c>
      <c r="L18" s="29"/>
      <c r="M18" s="29"/>
      <c r="N18" s="42"/>
    </row>
    <row r="19" ht="14.25" spans="11:14">
      <c r="K19" s="38">
        <v>16</v>
      </c>
      <c r="L19" s="27"/>
      <c r="M19" s="27"/>
      <c r="N19" s="39"/>
    </row>
    <row r="20" ht="15" spans="11:14">
      <c r="K20" s="41">
        <v>17</v>
      </c>
      <c r="L20" s="29"/>
      <c r="M20" s="29"/>
      <c r="N20" s="42"/>
    </row>
    <row r="21" ht="14.25" spans="11:14">
      <c r="K21" s="38">
        <v>18</v>
      </c>
      <c r="L21" s="27"/>
      <c r="M21" s="27"/>
      <c r="N21" s="39"/>
    </row>
    <row r="22" ht="15.75" customHeight="1" spans="11:14">
      <c r="K22" s="45">
        <v>20</v>
      </c>
      <c r="L22" s="52"/>
      <c r="M22" s="52"/>
      <c r="N22" s="46"/>
    </row>
    <row r="23" ht="15"/>
    <row r="24" ht="15.75" spans="11:12">
      <c r="K24" s="35" t="s">
        <v>31</v>
      </c>
      <c r="L24" s="36"/>
    </row>
    <row r="25" ht="14.25" spans="11:12">
      <c r="K25" s="38" t="s">
        <v>5</v>
      </c>
      <c r="L25" s="39"/>
    </row>
    <row r="26" ht="15.75" spans="11:12">
      <c r="K26" s="45" t="s">
        <v>7</v>
      </c>
      <c r="L26" s="46"/>
    </row>
    <row r="27" ht="14.25"/>
    <row r="41" ht="15.75" customHeight="1"/>
  </sheetData>
  <mergeCells count="13">
    <mergeCell ref="B2:C2"/>
    <mergeCell ref="G2:H2"/>
    <mergeCell ref="K2:N2"/>
    <mergeCell ref="G5:H5"/>
    <mergeCell ref="G6:H6"/>
    <mergeCell ref="G7:H7"/>
    <mergeCell ref="G8:H8"/>
    <mergeCell ref="G9:H9"/>
    <mergeCell ref="G10:H10"/>
    <mergeCell ref="B12:I12"/>
    <mergeCell ref="B14:D14"/>
    <mergeCell ref="F14:I14"/>
    <mergeCell ref="K24:L24"/>
  </mergeCells>
  <dataValidations count="2">
    <dataValidation type="list" allowBlank="1" showInputMessage="1" showErrorMessage="1" sqref="F16">
      <formula1>Inventário!$B$9:$B$13</formula1>
    </dataValidation>
    <dataValidation type="list" allowBlank="1" showInputMessage="1" showErrorMessage="1" sqref="B16">
      <formula1>Inventário!$B$4:$B$5</formula1>
    </dataValidation>
  </dataValidations>
  <pageMargins left="0.511811024" right="0.511811024" top="0.787401575" bottom="0.787401575" header="0.31496062" footer="0.31496062"/>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O23"/>
  <sheetViews>
    <sheetView workbookViewId="0">
      <selection activeCell="I7" sqref="I7"/>
    </sheetView>
  </sheetViews>
  <sheetFormatPr defaultColWidth="9" defaultRowHeight="13.5"/>
  <cols>
    <col min="12" max="12" width="19.7083333333333" customWidth="1"/>
    <col min="13" max="13" width="12.2833333333333" customWidth="1"/>
    <col min="14" max="14" width="12.1416666666667" customWidth="1"/>
  </cols>
  <sheetData>
    <row r="1" ht="16.5" spans="1:15">
      <c r="A1" s="71" t="s">
        <v>32</v>
      </c>
      <c r="B1" s="72"/>
      <c r="C1" s="72"/>
      <c r="D1" s="72"/>
      <c r="E1" s="72"/>
      <c r="F1" s="72"/>
      <c r="G1" s="73"/>
      <c r="I1" s="71" t="s">
        <v>33</v>
      </c>
      <c r="J1" s="72"/>
      <c r="K1" s="72"/>
      <c r="L1" s="72"/>
      <c r="M1" s="72"/>
      <c r="N1" s="72"/>
      <c r="O1" s="73"/>
    </row>
    <row r="2" ht="15"/>
    <row r="3" ht="35" customHeight="1" spans="2:13">
      <c r="B3" s="35" t="s">
        <v>34</v>
      </c>
      <c r="C3" s="48"/>
      <c r="D3" s="48" t="s">
        <v>35</v>
      </c>
      <c r="E3" s="48"/>
      <c r="F3" s="36"/>
      <c r="K3" s="74" t="s">
        <v>36</v>
      </c>
      <c r="L3" s="75" t="s">
        <v>37</v>
      </c>
      <c r="M3" s="83" t="s">
        <v>24</v>
      </c>
    </row>
    <row r="4" ht="15" customHeight="1" spans="2:13">
      <c r="B4" s="38" t="s">
        <v>38</v>
      </c>
      <c r="C4" s="27"/>
      <c r="D4" s="27"/>
      <c r="E4" s="27"/>
      <c r="F4" s="39"/>
      <c r="K4" s="76" t="s">
        <v>39</v>
      </c>
      <c r="L4" s="77" t="s">
        <v>40</v>
      </c>
      <c r="M4" s="84"/>
    </row>
    <row r="5" ht="15" customHeight="1" spans="2:13">
      <c r="B5" s="41" t="s">
        <v>41</v>
      </c>
      <c r="C5" s="29"/>
      <c r="D5" s="29"/>
      <c r="E5" s="29"/>
      <c r="F5" s="42"/>
      <c r="K5" s="78" t="s">
        <v>39</v>
      </c>
      <c r="L5" s="79" t="s">
        <v>42</v>
      </c>
      <c r="M5" s="85"/>
    </row>
    <row r="6" ht="15" customHeight="1" spans="2:13">
      <c r="B6" s="38" t="s">
        <v>43</v>
      </c>
      <c r="C6" s="27"/>
      <c r="D6" s="27"/>
      <c r="E6" s="27"/>
      <c r="F6" s="39"/>
      <c r="K6" s="76" t="s">
        <v>39</v>
      </c>
      <c r="L6" s="77" t="s">
        <v>44</v>
      </c>
      <c r="M6" s="84"/>
    </row>
    <row r="7" ht="15" spans="2:13">
      <c r="B7" s="41" t="s">
        <v>45</v>
      </c>
      <c r="C7" s="29"/>
      <c r="D7" s="29"/>
      <c r="E7" s="29"/>
      <c r="F7" s="42"/>
      <c r="K7" s="78" t="s">
        <v>46</v>
      </c>
      <c r="L7" s="79" t="s">
        <v>47</v>
      </c>
      <c r="M7" s="85"/>
    </row>
    <row r="8" ht="14.25" spans="2:13">
      <c r="B8" s="38" t="s">
        <v>48</v>
      </c>
      <c r="C8" s="27"/>
      <c r="D8" s="27"/>
      <c r="E8" s="27"/>
      <c r="F8" s="39"/>
      <c r="K8" s="76" t="s">
        <v>49</v>
      </c>
      <c r="L8" s="80" t="s">
        <v>50</v>
      </c>
      <c r="M8" s="84"/>
    </row>
    <row r="9" ht="15" spans="2:13">
      <c r="B9" s="41" t="s">
        <v>51</v>
      </c>
      <c r="C9" s="29"/>
      <c r="D9" s="29"/>
      <c r="E9" s="29"/>
      <c r="F9" s="42"/>
      <c r="K9" s="78"/>
      <c r="L9" s="79"/>
      <c r="M9" s="85"/>
    </row>
    <row r="10" ht="15" customHeight="1" spans="2:13">
      <c r="B10" s="38" t="s">
        <v>52</v>
      </c>
      <c r="C10" s="27"/>
      <c r="D10" s="27"/>
      <c r="E10" s="27"/>
      <c r="F10" s="39"/>
      <c r="K10" s="76"/>
      <c r="L10" s="77"/>
      <c r="M10" s="84"/>
    </row>
    <row r="11" ht="15" spans="2:13">
      <c r="B11" s="41" t="s">
        <v>53</v>
      </c>
      <c r="C11" s="29"/>
      <c r="D11" s="29"/>
      <c r="E11" s="29"/>
      <c r="F11" s="42"/>
      <c r="K11" s="78"/>
      <c r="L11" s="79"/>
      <c r="M11" s="85"/>
    </row>
    <row r="12" ht="14.25" spans="2:13">
      <c r="B12" s="38" t="s">
        <v>54</v>
      </c>
      <c r="C12" s="27"/>
      <c r="D12" s="27"/>
      <c r="E12" s="27"/>
      <c r="F12" s="39"/>
      <c r="K12" s="76"/>
      <c r="L12" s="77"/>
      <c r="M12" s="84"/>
    </row>
    <row r="13" ht="15" spans="2:13">
      <c r="B13" s="41" t="s">
        <v>55</v>
      </c>
      <c r="C13" s="29"/>
      <c r="D13" s="29"/>
      <c r="E13" s="29"/>
      <c r="F13" s="42"/>
      <c r="K13" s="78"/>
      <c r="L13" s="79"/>
      <c r="M13" s="85"/>
    </row>
    <row r="14" ht="14.25" spans="2:13">
      <c r="B14" s="38" t="s">
        <v>56</v>
      </c>
      <c r="C14" s="27"/>
      <c r="D14" s="27"/>
      <c r="E14" s="27"/>
      <c r="F14" s="39"/>
      <c r="K14" s="76"/>
      <c r="L14" s="77"/>
      <c r="M14" s="84"/>
    </row>
    <row r="15" ht="15" spans="2:13">
      <c r="B15" s="41" t="s">
        <v>57</v>
      </c>
      <c r="C15" s="29"/>
      <c r="D15" s="29"/>
      <c r="E15" s="29"/>
      <c r="F15" s="42"/>
      <c r="K15" s="78"/>
      <c r="L15" s="79"/>
      <c r="M15" s="85"/>
    </row>
    <row r="16" ht="14.25" spans="2:13">
      <c r="B16" s="38" t="s">
        <v>58</v>
      </c>
      <c r="C16" s="27"/>
      <c r="D16" s="27"/>
      <c r="E16" s="27"/>
      <c r="F16" s="39"/>
      <c r="K16" s="76"/>
      <c r="L16" s="77"/>
      <c r="M16" s="84"/>
    </row>
    <row r="17" ht="15" spans="2:13">
      <c r="B17" s="41" t="s">
        <v>59</v>
      </c>
      <c r="C17" s="29"/>
      <c r="D17" s="29"/>
      <c r="E17" s="29"/>
      <c r="F17" s="42"/>
      <c r="K17" s="78"/>
      <c r="L17" s="79"/>
      <c r="M17" s="85"/>
    </row>
    <row r="18" ht="14.25" spans="2:13">
      <c r="B18" s="38" t="s">
        <v>60</v>
      </c>
      <c r="C18" s="27"/>
      <c r="D18" s="27"/>
      <c r="E18" s="27"/>
      <c r="F18" s="39"/>
      <c r="K18" s="76"/>
      <c r="L18" s="77"/>
      <c r="M18" s="84"/>
    </row>
    <row r="19" ht="15" spans="2:13">
      <c r="B19" s="41" t="s">
        <v>61</v>
      </c>
      <c r="C19" s="29"/>
      <c r="D19" s="29"/>
      <c r="E19" s="29"/>
      <c r="F19" s="42"/>
      <c r="K19" s="78"/>
      <c r="L19" s="79"/>
      <c r="M19" s="85"/>
    </row>
    <row r="20" ht="14.25" spans="2:13">
      <c r="B20" s="38" t="s">
        <v>62</v>
      </c>
      <c r="C20" s="27"/>
      <c r="D20" s="27"/>
      <c r="E20" s="27"/>
      <c r="F20" s="39"/>
      <c r="K20" s="76"/>
      <c r="L20" s="77"/>
      <c r="M20" s="84"/>
    </row>
    <row r="21" ht="15" spans="2:13">
      <c r="B21" s="41" t="s">
        <v>63</v>
      </c>
      <c r="C21" s="29"/>
      <c r="D21" s="29"/>
      <c r="E21" s="29"/>
      <c r="F21" s="42"/>
      <c r="K21" s="78"/>
      <c r="L21" s="79"/>
      <c r="M21" s="85"/>
    </row>
    <row r="22" ht="15" spans="2:13">
      <c r="B22" s="43" t="s">
        <v>64</v>
      </c>
      <c r="C22" s="49"/>
      <c r="D22" s="49"/>
      <c r="E22" s="49"/>
      <c r="F22" s="44"/>
      <c r="K22" s="81"/>
      <c r="L22" s="82"/>
      <c r="M22" s="86"/>
    </row>
    <row r="23" ht="14.25"/>
  </sheetData>
  <mergeCells count="42">
    <mergeCell ref="A1:G1"/>
    <mergeCell ref="I1:O1"/>
    <mergeCell ref="B3:C3"/>
    <mergeCell ref="D3:E3"/>
    <mergeCell ref="B4:C4"/>
    <mergeCell ref="D4:E4"/>
    <mergeCell ref="B5:C5"/>
    <mergeCell ref="D5:E5"/>
    <mergeCell ref="B6:C6"/>
    <mergeCell ref="D6:E6"/>
    <mergeCell ref="B7:C7"/>
    <mergeCell ref="D7:E7"/>
    <mergeCell ref="B8:C8"/>
    <mergeCell ref="D8:E8"/>
    <mergeCell ref="B9:C9"/>
    <mergeCell ref="D9:E9"/>
    <mergeCell ref="B10:C10"/>
    <mergeCell ref="D10:E10"/>
    <mergeCell ref="B11:C11"/>
    <mergeCell ref="D11:E11"/>
    <mergeCell ref="B12:C12"/>
    <mergeCell ref="D12:E12"/>
    <mergeCell ref="B13:C13"/>
    <mergeCell ref="D13:E13"/>
    <mergeCell ref="B14:C14"/>
    <mergeCell ref="D14:E14"/>
    <mergeCell ref="B15:C15"/>
    <mergeCell ref="D15:E15"/>
    <mergeCell ref="B16:C16"/>
    <mergeCell ref="D16:E16"/>
    <mergeCell ref="B17:C17"/>
    <mergeCell ref="D17:E17"/>
    <mergeCell ref="B18:C18"/>
    <mergeCell ref="D18:E18"/>
    <mergeCell ref="B19:C19"/>
    <mergeCell ref="D19:E19"/>
    <mergeCell ref="B20:C20"/>
    <mergeCell ref="D20:E20"/>
    <mergeCell ref="B21:C21"/>
    <mergeCell ref="D21:E21"/>
    <mergeCell ref="B22:C22"/>
    <mergeCell ref="D22:E22"/>
  </mergeCells>
  <pageMargins left="0.511811024" right="0.511811024" top="0.787401575" bottom="0.787401575" header="0.31496062" footer="0.31496062"/>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1:H32"/>
  <sheetViews>
    <sheetView workbookViewId="0">
      <selection activeCell="H13" sqref="H13"/>
    </sheetView>
  </sheetViews>
  <sheetFormatPr defaultColWidth="9" defaultRowHeight="13.5" outlineLevelCol="7"/>
  <cols>
    <col min="2" max="2" width="13.8583333333333" customWidth="1"/>
    <col min="7" max="7" width="8.425" customWidth="1"/>
  </cols>
  <sheetData>
    <row r="1" ht="14.25"/>
    <row r="2" ht="15.75" spans="2:8">
      <c r="B2" s="35" t="s">
        <v>0</v>
      </c>
      <c r="C2" s="48" t="s">
        <v>65</v>
      </c>
      <c r="D2" s="48" t="s">
        <v>66</v>
      </c>
      <c r="E2" s="36" t="s">
        <v>67</v>
      </c>
      <c r="G2" s="50" t="s">
        <v>65</v>
      </c>
      <c r="H2" s="65"/>
    </row>
    <row r="3" ht="15" spans="2:8">
      <c r="B3" s="38" t="str">
        <f>Tabela1[[#This Row],[Perícia]]</f>
        <v>Acrobacia</v>
      </c>
      <c r="C3" s="27">
        <f>Tabela1[[#This Row],[Total]]</f>
        <v>3</v>
      </c>
      <c r="D3" s="27">
        <f ca="1">RANDBETWEEN(1,20)</f>
        <v>12</v>
      </c>
      <c r="E3" s="39">
        <f ca="1">SUM(C3:D3)</f>
        <v>15</v>
      </c>
      <c r="G3" s="43" t="s">
        <v>68</v>
      </c>
      <c r="H3" s="44">
        <f ca="1">VLOOKUP(G3,B2:E31,4,FALSE)</f>
        <v>6</v>
      </c>
    </row>
    <row r="4" ht="15.75" spans="2:5">
      <c r="B4" s="41" t="str">
        <f>Tabela1[[#This Row],[Perícia]]</f>
        <v>Adestramento</v>
      </c>
      <c r="C4" s="29">
        <f>Tabela1[[#This Row],[Total]]</f>
        <v>2</v>
      </c>
      <c r="D4" s="29">
        <f ca="1" t="shared" ref="D4:D31" si="0">RANDBETWEEN(1,20)</f>
        <v>1</v>
      </c>
      <c r="E4" s="42">
        <f ca="1" t="shared" ref="E4:E31" si="1">SUM(C4:D4)</f>
        <v>3</v>
      </c>
    </row>
    <row r="5" ht="14.25" spans="2:5">
      <c r="B5" s="38" t="str">
        <f>Tabela1[[#This Row],[Perícia]]</f>
        <v>Atletismo</v>
      </c>
      <c r="C5" s="27">
        <f>Tabela1[[#This Row],[Total]]</f>
        <v>3</v>
      </c>
      <c r="D5" s="27">
        <f ca="1" t="shared" si="0"/>
        <v>1</v>
      </c>
      <c r="E5" s="39">
        <f ca="1" t="shared" si="1"/>
        <v>4</v>
      </c>
    </row>
    <row r="6" ht="15" spans="2:5">
      <c r="B6" s="41" t="str">
        <f>Tabela1[[#This Row],[Perícia]]</f>
        <v>Atuação</v>
      </c>
      <c r="C6" s="29">
        <f>Tabela1[[#This Row],[Total]]</f>
        <v>2</v>
      </c>
      <c r="D6" s="29">
        <f ca="1" t="shared" si="0"/>
        <v>19</v>
      </c>
      <c r="E6" s="42">
        <f ca="1" t="shared" si="1"/>
        <v>21</v>
      </c>
    </row>
    <row r="7" ht="14.25" spans="2:5">
      <c r="B7" s="38" t="str">
        <f>Tabela1[[#This Row],[Perícia]]</f>
        <v>Cavalgar</v>
      </c>
      <c r="C7" s="27">
        <f>Tabela1[[#This Row],[Total]]</f>
        <v>3</v>
      </c>
      <c r="D7" s="27">
        <f ca="1" t="shared" si="0"/>
        <v>5</v>
      </c>
      <c r="E7" s="39">
        <f ca="1" t="shared" si="1"/>
        <v>8</v>
      </c>
    </row>
    <row r="8" ht="15" spans="2:5">
      <c r="B8" s="41" t="str">
        <f>Tabela1[[#This Row],[Perícia]]</f>
        <v>Conhecimento</v>
      </c>
      <c r="C8" s="29">
        <f>Tabela1[[#This Row],[Total]]</f>
        <v>7</v>
      </c>
      <c r="D8" s="29">
        <f ca="1" t="shared" si="0"/>
        <v>1</v>
      </c>
      <c r="E8" s="42">
        <f ca="1" t="shared" si="1"/>
        <v>8</v>
      </c>
    </row>
    <row r="9" ht="14.25" spans="2:5">
      <c r="B9" s="38" t="str">
        <f>Tabela1[[#This Row],[Perícia]]</f>
        <v>Cura</v>
      </c>
      <c r="C9" s="27">
        <f>Tabela1[[#This Row],[Total]]</f>
        <v>5</v>
      </c>
      <c r="D9" s="27">
        <f ca="1" t="shared" si="0"/>
        <v>1</v>
      </c>
      <c r="E9" s="39">
        <f ca="1" t="shared" si="1"/>
        <v>6</v>
      </c>
    </row>
    <row r="10" ht="15" spans="2:5">
      <c r="B10" s="41" t="str">
        <f>Tabela1[[#This Row],[Perícia]]</f>
        <v>Diplomacia</v>
      </c>
      <c r="C10" s="29">
        <f>Tabela1[[#This Row],[Total]]</f>
        <v>2</v>
      </c>
      <c r="D10" s="29">
        <f ca="1" t="shared" si="0"/>
        <v>7</v>
      </c>
      <c r="E10" s="42">
        <f ca="1" t="shared" si="1"/>
        <v>9</v>
      </c>
    </row>
    <row r="11" ht="14.25" spans="2:5">
      <c r="B11" s="38" t="str">
        <f>Tabela1[[#This Row],[Perícia]]</f>
        <v>Enganação</v>
      </c>
      <c r="C11" s="27">
        <f>Tabela1[[#This Row],[Total]]</f>
        <v>2</v>
      </c>
      <c r="D11" s="27">
        <f ca="1" t="shared" si="0"/>
        <v>7</v>
      </c>
      <c r="E11" s="39">
        <f ca="1" t="shared" si="1"/>
        <v>9</v>
      </c>
    </row>
    <row r="12" ht="15" spans="2:5">
      <c r="B12" s="41" t="str">
        <f>Tabela1[[#This Row],[Perícia]]</f>
        <v>Fortitude</v>
      </c>
      <c r="C12" s="29">
        <f>Tabela1[[#This Row],[Total]]</f>
        <v>1</v>
      </c>
      <c r="D12" s="29">
        <f ca="1" t="shared" si="0"/>
        <v>7</v>
      </c>
      <c r="E12" s="42">
        <f ca="1" t="shared" si="1"/>
        <v>8</v>
      </c>
    </row>
    <row r="13" ht="14.25" spans="2:5">
      <c r="B13" s="38" t="str">
        <f>Tabela1[[#This Row],[Perícia]]</f>
        <v>Furtividade</v>
      </c>
      <c r="C13" s="27">
        <f>Tabela1[[#This Row],[Total]]</f>
        <v>3</v>
      </c>
      <c r="D13" s="27">
        <f ca="1" t="shared" si="0"/>
        <v>7</v>
      </c>
      <c r="E13" s="39">
        <f ca="1" t="shared" si="1"/>
        <v>10</v>
      </c>
    </row>
    <row r="14" ht="15" spans="2:5">
      <c r="B14" s="41" t="str">
        <f>Tabela1[[#This Row],[Perícia]]</f>
        <v>Guerra</v>
      </c>
      <c r="C14" s="29">
        <f>Tabela1[[#This Row],[Total]]</f>
        <v>8</v>
      </c>
      <c r="D14" s="29">
        <f ca="1" t="shared" si="0"/>
        <v>1</v>
      </c>
      <c r="E14" s="42">
        <f ca="1" t="shared" si="1"/>
        <v>9</v>
      </c>
    </row>
    <row r="15" ht="14.25" spans="2:5">
      <c r="B15" s="38" t="str">
        <f>Tabela1[[#This Row],[Perícia]]</f>
        <v>Iniciativa</v>
      </c>
      <c r="C15" s="27">
        <f>Tabela1[[#This Row],[Total]]</f>
        <v>3</v>
      </c>
      <c r="D15" s="27">
        <f ca="1" t="shared" si="0"/>
        <v>7</v>
      </c>
      <c r="E15" s="39">
        <f ca="1" t="shared" si="1"/>
        <v>10</v>
      </c>
    </row>
    <row r="16" ht="15" spans="2:5">
      <c r="B16" s="41" t="str">
        <f>Tabela1[[#This Row],[Perícia]]</f>
        <v>Intimidação</v>
      </c>
      <c r="C16" s="29">
        <f>Tabela1[[#This Row],[Total]]</f>
        <v>2</v>
      </c>
      <c r="D16" s="29">
        <f ca="1" t="shared" si="0"/>
        <v>14</v>
      </c>
      <c r="E16" s="42">
        <f ca="1" t="shared" si="1"/>
        <v>16</v>
      </c>
    </row>
    <row r="17" ht="14.25" spans="2:5">
      <c r="B17" s="38" t="str">
        <f>Tabela1[[#This Row],[Perícia]]</f>
        <v>Intuição</v>
      </c>
      <c r="C17" s="27">
        <f>Tabela1[[#This Row],[Total]]</f>
        <v>3</v>
      </c>
      <c r="D17" s="27">
        <f ca="1" t="shared" si="0"/>
        <v>1</v>
      </c>
      <c r="E17" s="39">
        <f ca="1" t="shared" si="1"/>
        <v>4</v>
      </c>
    </row>
    <row r="18" ht="15" spans="2:5">
      <c r="B18" s="41" t="str">
        <f>Tabela1[[#This Row],[Perícia]]</f>
        <v>Investigação</v>
      </c>
      <c r="C18" s="29">
        <f>Tabela1[[#This Row],[Total]]</f>
        <v>7</v>
      </c>
      <c r="D18" s="29">
        <f ca="1" t="shared" si="0"/>
        <v>18</v>
      </c>
      <c r="E18" s="42">
        <f ca="1" t="shared" si="1"/>
        <v>25</v>
      </c>
    </row>
    <row r="19" ht="14.25" spans="2:5">
      <c r="B19" s="38" t="str">
        <f>Tabela1[[#This Row],[Perícia]]</f>
        <v>Jogatina</v>
      </c>
      <c r="C19" s="27">
        <f>Tabela1[[#This Row],[Total]]</f>
        <v>2</v>
      </c>
      <c r="D19" s="27">
        <f ca="1" t="shared" si="0"/>
        <v>16</v>
      </c>
      <c r="E19" s="39">
        <f ca="1" t="shared" si="1"/>
        <v>18</v>
      </c>
    </row>
    <row r="20" ht="15" spans="2:5">
      <c r="B20" s="41" t="str">
        <f>Tabela1[[#This Row],[Perícia]]</f>
        <v>Ladinagem</v>
      </c>
      <c r="C20" s="29">
        <f>Tabela1[[#This Row],[Total]]</f>
        <v>3</v>
      </c>
      <c r="D20" s="29">
        <f ca="1" t="shared" si="0"/>
        <v>1</v>
      </c>
      <c r="E20" s="42">
        <f ca="1" t="shared" si="1"/>
        <v>4</v>
      </c>
    </row>
    <row r="21" ht="14.25" spans="2:5">
      <c r="B21" s="38" t="str">
        <f>Tabela1[[#This Row],[Perícia]]</f>
        <v>Luta</v>
      </c>
      <c r="C21" s="27">
        <f>Tabela1[[#This Row],[Total]]</f>
        <v>5</v>
      </c>
      <c r="D21" s="27">
        <f ca="1" t="shared" si="0"/>
        <v>1</v>
      </c>
      <c r="E21" s="39">
        <f ca="1" t="shared" si="1"/>
        <v>6</v>
      </c>
    </row>
    <row r="22" ht="15" spans="2:5">
      <c r="B22" s="41" t="str">
        <f>Tabela1[[#This Row],[Perícia]]</f>
        <v>Misticismo</v>
      </c>
      <c r="C22" s="29">
        <f>Tabela1[[#This Row],[Total]]</f>
        <v>9</v>
      </c>
      <c r="D22" s="29">
        <f ca="1" t="shared" si="0"/>
        <v>1</v>
      </c>
      <c r="E22" s="42">
        <f ca="1" t="shared" si="1"/>
        <v>10</v>
      </c>
    </row>
    <row r="23" ht="14.25" spans="2:5">
      <c r="B23" s="38" t="str">
        <f>Tabela1[[#This Row],[Perícia]]</f>
        <v>Nobreza</v>
      </c>
      <c r="C23" s="27">
        <f>Tabela1[[#This Row],[Total]]</f>
        <v>5</v>
      </c>
      <c r="D23" s="27">
        <f ca="1" t="shared" si="0"/>
        <v>10</v>
      </c>
      <c r="E23" s="39">
        <f ca="1" t="shared" si="1"/>
        <v>15</v>
      </c>
    </row>
    <row r="24" ht="30" spans="2:5">
      <c r="B24" s="41" t="str">
        <f>Tabela1[[#This Row],[Perícia]]</f>
        <v>Ofício (Alquimista)</v>
      </c>
      <c r="C24" s="29">
        <f>Tabela1[[#This Row],[Total]]</f>
        <v>7</v>
      </c>
      <c r="D24" s="29">
        <f ca="1" t="shared" si="0"/>
        <v>1</v>
      </c>
      <c r="E24" s="42">
        <f ca="1" t="shared" si="1"/>
        <v>8</v>
      </c>
    </row>
    <row r="25" ht="14.25" spans="2:5">
      <c r="B25" s="38" t="str">
        <f>Tabela1[[#This Row],[Perícia]]</f>
        <v>Ofício (Armeiro)</v>
      </c>
      <c r="C25" s="27">
        <f>Tabela1[[#This Row],[Total]]</f>
        <v>7</v>
      </c>
      <c r="D25" s="27">
        <f ca="1" t="shared" si="0"/>
        <v>7</v>
      </c>
      <c r="E25" s="39">
        <f ca="1" t="shared" si="1"/>
        <v>14</v>
      </c>
    </row>
    <row r="26" ht="30" spans="2:5">
      <c r="B26" s="41" t="str">
        <f>Tabela1[[#This Row],[Perícia]]</f>
        <v>Ofício (Engenhoqueiro)</v>
      </c>
      <c r="C26" s="29">
        <f>Tabela1[[#This Row],[Total]]</f>
        <v>7</v>
      </c>
      <c r="D26" s="29">
        <f ca="1" t="shared" si="0"/>
        <v>1</v>
      </c>
      <c r="E26" s="42">
        <f ca="1" t="shared" si="1"/>
        <v>8</v>
      </c>
    </row>
    <row r="27" ht="14.25" spans="2:5">
      <c r="B27" s="38" t="str">
        <f>Tabela1[[#This Row],[Perícia]]</f>
        <v>Percepção</v>
      </c>
      <c r="C27" s="27">
        <f>Tabela1[[#This Row],[Total]]</f>
        <v>7</v>
      </c>
      <c r="D27" s="27">
        <f ca="1" t="shared" si="0"/>
        <v>14</v>
      </c>
      <c r="E27" s="39">
        <f ca="1" t="shared" si="1"/>
        <v>21</v>
      </c>
    </row>
    <row r="28" ht="15" spans="2:5">
      <c r="B28" s="41" t="str">
        <f>Tabela1[[#This Row],[Perícia]]</f>
        <v>Pilotagem</v>
      </c>
      <c r="C28" s="29">
        <f>Tabela1[[#This Row],[Total]]</f>
        <v>3</v>
      </c>
      <c r="D28" s="29">
        <f ca="1" t="shared" si="0"/>
        <v>11</v>
      </c>
      <c r="E28" s="42">
        <f ca="1" t="shared" si="1"/>
        <v>14</v>
      </c>
    </row>
    <row r="29" ht="14.25" spans="2:5">
      <c r="B29" s="38" t="str">
        <f>Tabela1[[#This Row],[Perícia]]</f>
        <v>Pontaria</v>
      </c>
      <c r="C29" s="27">
        <f>Tabela1[[#This Row],[Total]]</f>
        <v>3</v>
      </c>
      <c r="D29" s="27">
        <f ca="1" t="shared" si="0"/>
        <v>2</v>
      </c>
      <c r="E29" s="39">
        <f ca="1" t="shared" si="1"/>
        <v>5</v>
      </c>
    </row>
    <row r="30" ht="15" spans="2:5">
      <c r="B30" s="41" t="str">
        <f>Tabela1[[#This Row],[Perícia]]</f>
        <v>Reflexos</v>
      </c>
      <c r="C30" s="29">
        <f>Tabela1[[#This Row],[Total]]</f>
        <v>5</v>
      </c>
      <c r="D30" s="29">
        <f ca="1" t="shared" si="0"/>
        <v>11</v>
      </c>
      <c r="E30" s="42">
        <f ca="1" t="shared" si="1"/>
        <v>16</v>
      </c>
    </row>
    <row r="31" ht="15" spans="2:5">
      <c r="B31" s="43" t="str">
        <f>Tabela1[[#This Row],[Perícia]]</f>
        <v>Religião</v>
      </c>
      <c r="C31" s="49">
        <f>Tabela1[[#This Row],[Total]]</f>
        <v>5</v>
      </c>
      <c r="D31" s="49">
        <f ca="1" t="shared" si="0"/>
        <v>7</v>
      </c>
      <c r="E31" s="44">
        <f ca="1" t="shared" si="1"/>
        <v>12</v>
      </c>
    </row>
    <row r="32" ht="14.25"/>
  </sheetData>
  <mergeCells count="1">
    <mergeCell ref="G2:H2"/>
  </mergeCells>
  <dataValidations count="1">
    <dataValidation type="list" allowBlank="1" showInputMessage="1" showErrorMessage="1" sqref="G3">
      <formula1>$B$2:$B$31</formula1>
    </dataValidation>
  </dataValidations>
  <pageMargins left="0.511811024" right="0.511811024" top="0.787401575" bottom="0.787401575" header="0.31496062" footer="0.31496062"/>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1:H35"/>
  <sheetViews>
    <sheetView workbookViewId="0">
      <selection activeCell="F31" sqref="F31"/>
    </sheetView>
  </sheetViews>
  <sheetFormatPr defaultColWidth="9" defaultRowHeight="13.5" outlineLevelCol="7"/>
  <cols>
    <col min="2" max="2" width="23.2833333333333" customWidth="1"/>
    <col min="3" max="3" width="15.425" customWidth="1"/>
    <col min="4" max="4" width="11.8583333333333" customWidth="1"/>
    <col min="5" max="5" width="10.5666666666667" customWidth="1"/>
  </cols>
  <sheetData>
    <row r="1" ht="14.25"/>
    <row r="2" ht="15.75" spans="2:8">
      <c r="B2" s="24" t="s">
        <v>69</v>
      </c>
      <c r="C2" s="24" t="s">
        <v>36</v>
      </c>
      <c r="D2" s="25" t="s">
        <v>70</v>
      </c>
      <c r="E2" s="70" t="s">
        <v>71</v>
      </c>
      <c r="G2" s="35" t="s">
        <v>72</v>
      </c>
      <c r="H2" s="36"/>
    </row>
    <row r="3" ht="14.25" spans="2:8">
      <c r="B3" s="68"/>
      <c r="C3" s="68"/>
      <c r="D3" s="27"/>
      <c r="E3" s="37"/>
      <c r="G3" s="38">
        <v>1</v>
      </c>
      <c r="H3" s="39">
        <v>1</v>
      </c>
    </row>
    <row r="4" ht="15" spans="2:8">
      <c r="B4" s="30"/>
      <c r="C4" s="28"/>
      <c r="D4" s="29"/>
      <c r="E4" s="40"/>
      <c r="G4" s="41">
        <v>2</v>
      </c>
      <c r="H4" s="42">
        <v>3</v>
      </c>
    </row>
    <row r="5" ht="14.25" spans="2:8">
      <c r="B5" s="68"/>
      <c r="C5" s="26"/>
      <c r="D5" s="27"/>
      <c r="E5" s="37"/>
      <c r="G5" s="38">
        <v>3</v>
      </c>
      <c r="H5" s="39">
        <v>6</v>
      </c>
    </row>
    <row r="6" ht="15" spans="2:8">
      <c r="B6" s="30"/>
      <c r="C6" s="28"/>
      <c r="D6" s="29"/>
      <c r="E6" s="40"/>
      <c r="G6" s="41">
        <v>4</v>
      </c>
      <c r="H6" s="42">
        <v>10</v>
      </c>
    </row>
    <row r="7" ht="15" spans="2:8">
      <c r="B7" s="68"/>
      <c r="C7" s="26"/>
      <c r="D7" s="27"/>
      <c r="E7" s="37"/>
      <c r="G7" s="43">
        <v>5</v>
      </c>
      <c r="H7" s="44">
        <v>15</v>
      </c>
    </row>
    <row r="8" ht="15.75" spans="2:5">
      <c r="B8" s="30"/>
      <c r="C8" s="28"/>
      <c r="D8" s="29"/>
      <c r="E8" s="40"/>
    </row>
    <row r="9" ht="14.25" spans="2:5">
      <c r="B9" s="68"/>
      <c r="C9" s="26"/>
      <c r="D9" s="27"/>
      <c r="E9" s="37"/>
    </row>
    <row r="10" ht="15" spans="2:5">
      <c r="B10" s="30"/>
      <c r="C10" s="28"/>
      <c r="D10" s="29"/>
      <c r="E10" s="40"/>
    </row>
    <row r="11" ht="14.25" spans="2:5">
      <c r="B11" s="68"/>
      <c r="C11" s="26"/>
      <c r="D11" s="27"/>
      <c r="E11" s="37"/>
    </row>
    <row r="12" ht="15" spans="2:5">
      <c r="B12" s="30"/>
      <c r="C12" s="28"/>
      <c r="D12" s="29"/>
      <c r="E12" s="40"/>
    </row>
    <row r="13" ht="14.25" spans="2:5">
      <c r="B13" s="68"/>
      <c r="C13" s="26"/>
      <c r="D13" s="27"/>
      <c r="E13" s="37"/>
    </row>
    <row r="14" ht="15" spans="2:5">
      <c r="B14" s="30"/>
      <c r="C14" s="28"/>
      <c r="D14" s="29"/>
      <c r="E14" s="40"/>
    </row>
    <row r="15" ht="14.25" spans="2:5">
      <c r="B15" s="68"/>
      <c r="C15" s="26"/>
      <c r="D15" s="27"/>
      <c r="E15" s="37"/>
    </row>
    <row r="16" ht="15" spans="2:5">
      <c r="B16" s="30"/>
      <c r="C16" s="28"/>
      <c r="D16" s="29"/>
      <c r="E16" s="40"/>
    </row>
    <row r="17" ht="14.25" spans="2:5">
      <c r="B17" s="68"/>
      <c r="C17" s="26"/>
      <c r="D17" s="27"/>
      <c r="E17" s="37" t="str">
        <f t="shared" ref="E3:E35" si="0">IFERROR(VLOOKUP(D17,$G$3:$H$7,2,FALSE)^2*10,"")</f>
        <v/>
      </c>
    </row>
    <row r="18" ht="15" spans="2:5">
      <c r="B18" s="30"/>
      <c r="C18" s="28"/>
      <c r="D18" s="29"/>
      <c r="E18" s="40" t="str">
        <f t="shared" si="0"/>
        <v/>
      </c>
    </row>
    <row r="19" ht="14.25" spans="2:5">
      <c r="B19" s="68"/>
      <c r="C19" s="26"/>
      <c r="D19" s="27"/>
      <c r="E19" s="37" t="str">
        <f t="shared" si="0"/>
        <v/>
      </c>
    </row>
    <row r="20" ht="15" spans="2:5">
      <c r="B20" s="30"/>
      <c r="C20" s="28"/>
      <c r="D20" s="29"/>
      <c r="E20" s="40" t="str">
        <f t="shared" si="0"/>
        <v/>
      </c>
    </row>
    <row r="21" ht="14.25" spans="2:5">
      <c r="B21" s="68"/>
      <c r="C21" s="26"/>
      <c r="D21" s="27"/>
      <c r="E21" s="37" t="str">
        <f t="shared" si="0"/>
        <v/>
      </c>
    </row>
    <row r="22" ht="15" spans="2:5">
      <c r="B22" s="30"/>
      <c r="C22" s="28"/>
      <c r="D22" s="29"/>
      <c r="E22" s="40" t="str">
        <f t="shared" si="0"/>
        <v/>
      </c>
    </row>
    <row r="23" ht="14.25" spans="2:5">
      <c r="B23" s="68"/>
      <c r="C23" s="26"/>
      <c r="D23" s="27"/>
      <c r="E23" s="37" t="str">
        <f t="shared" si="0"/>
        <v/>
      </c>
    </row>
    <row r="24" ht="15" spans="2:5">
      <c r="B24" s="30"/>
      <c r="C24" s="28"/>
      <c r="D24" s="29"/>
      <c r="E24" s="40" t="str">
        <f t="shared" si="0"/>
        <v/>
      </c>
    </row>
    <row r="25" ht="14.25" spans="2:5">
      <c r="B25" s="68"/>
      <c r="C25" s="26"/>
      <c r="D25" s="27"/>
      <c r="E25" s="37" t="str">
        <f t="shared" si="0"/>
        <v/>
      </c>
    </row>
    <row r="26" ht="15" spans="2:5">
      <c r="B26" s="30"/>
      <c r="C26" s="30"/>
      <c r="D26" s="29"/>
      <c r="E26" s="40" t="str">
        <f t="shared" si="0"/>
        <v/>
      </c>
    </row>
    <row r="27" ht="14.25" spans="2:5">
      <c r="B27" s="68"/>
      <c r="C27" s="26"/>
      <c r="D27" s="27"/>
      <c r="E27" s="37" t="str">
        <f t="shared" si="0"/>
        <v/>
      </c>
    </row>
    <row r="28" ht="15" spans="2:5">
      <c r="B28" s="30"/>
      <c r="C28" s="28"/>
      <c r="D28" s="29"/>
      <c r="E28" s="40" t="str">
        <f t="shared" si="0"/>
        <v/>
      </c>
    </row>
    <row r="29" ht="14.25" spans="2:5">
      <c r="B29" s="68"/>
      <c r="C29" s="26"/>
      <c r="D29" s="27"/>
      <c r="E29" s="37" t="str">
        <f t="shared" si="0"/>
        <v/>
      </c>
    </row>
    <row r="30" ht="15" spans="2:5">
      <c r="B30" s="30"/>
      <c r="C30" s="28"/>
      <c r="D30" s="29"/>
      <c r="E30" s="40" t="str">
        <f t="shared" si="0"/>
        <v/>
      </c>
    </row>
    <row r="31" ht="14.25" spans="2:5">
      <c r="B31" s="68"/>
      <c r="C31" s="26"/>
      <c r="D31" s="27"/>
      <c r="E31" s="37" t="str">
        <f t="shared" si="0"/>
        <v/>
      </c>
    </row>
    <row r="32" ht="15" spans="2:5">
      <c r="B32" s="30"/>
      <c r="C32" s="28"/>
      <c r="D32" s="29"/>
      <c r="E32" s="40" t="str">
        <f t="shared" si="0"/>
        <v/>
      </c>
    </row>
    <row r="33" ht="14.25" spans="2:5">
      <c r="B33" s="68"/>
      <c r="C33" s="26"/>
      <c r="D33" s="27"/>
      <c r="E33" s="37" t="str">
        <f t="shared" si="0"/>
        <v/>
      </c>
    </row>
    <row r="34" ht="15" spans="2:5">
      <c r="B34" s="30"/>
      <c r="C34" s="28"/>
      <c r="D34" s="29"/>
      <c r="E34" s="40" t="str">
        <f t="shared" si="0"/>
        <v/>
      </c>
    </row>
    <row r="35" ht="14.25" spans="2:5">
      <c r="B35" s="69"/>
      <c r="C35" s="31"/>
      <c r="D35" s="32"/>
      <c r="E35" s="47" t="str">
        <f t="shared" si="0"/>
        <v/>
      </c>
    </row>
  </sheetData>
  <mergeCells count="1">
    <mergeCell ref="G2:H2"/>
  </mergeCells>
  <pageMargins left="0.511811024" right="0.511811024" top="0.787401575" bottom="0.787401575" header="0.31496062" footer="0.31496062"/>
  <headerFooter/>
  <tableParts count="1">
    <tablePart r:id="rId1"/>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1:I26"/>
  <sheetViews>
    <sheetView workbookViewId="0">
      <selection activeCell="H17" sqref="H17"/>
    </sheetView>
  </sheetViews>
  <sheetFormatPr defaultColWidth="9" defaultRowHeight="13.5"/>
  <cols>
    <col min="2" max="2" width="27.5666666666667" customWidth="1"/>
    <col min="4" max="4" width="21.425" customWidth="1"/>
  </cols>
  <sheetData>
    <row r="1" ht="14.25"/>
    <row r="2" ht="15.75" spans="2:6">
      <c r="B2" s="35" t="s">
        <v>73</v>
      </c>
      <c r="C2" s="48"/>
      <c r="D2" s="48"/>
      <c r="E2" s="63"/>
      <c r="F2" s="36"/>
    </row>
    <row r="3" ht="14.25" spans="2:6">
      <c r="B3" s="38" t="s">
        <v>23</v>
      </c>
      <c r="C3" s="27" t="s">
        <v>24</v>
      </c>
      <c r="D3" s="27" t="s">
        <v>25</v>
      </c>
      <c r="E3" s="37" t="s">
        <v>74</v>
      </c>
      <c r="F3" s="39" t="s">
        <v>75</v>
      </c>
    </row>
    <row r="4" ht="15" spans="2:6">
      <c r="B4" s="41" t="s">
        <v>29</v>
      </c>
      <c r="C4" s="29">
        <v>2</v>
      </c>
      <c r="D4" s="29">
        <v>0</v>
      </c>
      <c r="E4" s="40">
        <v>20</v>
      </c>
      <c r="F4" s="42" t="s">
        <v>76</v>
      </c>
    </row>
    <row r="5" ht="15" spans="2:6">
      <c r="B5" s="43"/>
      <c r="C5" s="49"/>
      <c r="D5" s="49"/>
      <c r="E5" s="64"/>
      <c r="F5" s="44"/>
    </row>
    <row r="6" ht="15"/>
    <row r="7" ht="15.75" spans="2:8">
      <c r="B7" s="50" t="s">
        <v>77</v>
      </c>
      <c r="C7" s="51"/>
      <c r="D7" s="51"/>
      <c r="E7" s="51"/>
      <c r="F7" s="51"/>
      <c r="G7" s="51"/>
      <c r="H7" s="65"/>
    </row>
    <row r="8" ht="14.25" spans="2:8">
      <c r="B8" s="38" t="s">
        <v>23</v>
      </c>
      <c r="C8" s="27" t="s">
        <v>26</v>
      </c>
      <c r="D8" s="27" t="s">
        <v>78</v>
      </c>
      <c r="E8" s="27" t="s">
        <v>27</v>
      </c>
      <c r="F8" s="37" t="s">
        <v>75</v>
      </c>
      <c r="G8" s="37" t="s">
        <v>36</v>
      </c>
      <c r="H8" s="39" t="s">
        <v>28</v>
      </c>
    </row>
    <row r="9" ht="15" spans="2:8">
      <c r="B9" s="41" t="s">
        <v>30</v>
      </c>
      <c r="C9" s="29" t="s">
        <v>79</v>
      </c>
      <c r="D9" s="29"/>
      <c r="E9" s="29"/>
      <c r="F9" s="40"/>
      <c r="G9" s="40" t="s">
        <v>80</v>
      </c>
      <c r="H9" s="42" t="s">
        <v>81</v>
      </c>
    </row>
    <row r="10" ht="14.25" spans="2:8">
      <c r="B10" s="38" t="s">
        <v>82</v>
      </c>
      <c r="C10" s="27" t="s">
        <v>83</v>
      </c>
      <c r="D10" s="27" t="s">
        <v>84</v>
      </c>
      <c r="E10" s="27"/>
      <c r="F10" s="37">
        <v>2</v>
      </c>
      <c r="G10" s="37" t="s">
        <v>80</v>
      </c>
      <c r="H10" s="39" t="s">
        <v>81</v>
      </c>
    </row>
    <row r="11" ht="15" spans="2:8">
      <c r="B11" s="41"/>
      <c r="C11" s="29"/>
      <c r="D11" s="29"/>
      <c r="E11" s="29"/>
      <c r="F11" s="40"/>
      <c r="G11" s="40"/>
      <c r="H11" s="42"/>
    </row>
    <row r="12" ht="14.25" spans="2:8">
      <c r="B12" s="38"/>
      <c r="C12" s="27"/>
      <c r="D12" s="27"/>
      <c r="E12" s="27"/>
      <c r="F12" s="37"/>
      <c r="G12" s="37"/>
      <c r="H12" s="39"/>
    </row>
    <row r="13" ht="15.75" spans="2:8">
      <c r="B13" s="45"/>
      <c r="C13" s="52"/>
      <c r="D13" s="52"/>
      <c r="E13" s="52"/>
      <c r="F13" s="66"/>
      <c r="G13" s="66"/>
      <c r="H13" s="46"/>
    </row>
    <row r="14" ht="15"/>
    <row r="15" ht="15.75" spans="2:9">
      <c r="B15" s="35" t="s">
        <v>85</v>
      </c>
      <c r="C15" s="48"/>
      <c r="D15" s="48"/>
      <c r="E15" s="48"/>
      <c r="F15" s="48"/>
      <c r="G15" s="48"/>
      <c r="H15" s="48"/>
      <c r="I15" s="36"/>
    </row>
    <row r="16" ht="14.25" spans="2:9">
      <c r="B16" s="53" t="s">
        <v>23</v>
      </c>
      <c r="C16" s="54" t="s">
        <v>24</v>
      </c>
      <c r="D16" s="54"/>
      <c r="E16" s="54" t="s">
        <v>86</v>
      </c>
      <c r="F16" s="54" t="s">
        <v>87</v>
      </c>
      <c r="G16" s="54" t="s">
        <v>75</v>
      </c>
      <c r="H16" s="54" t="s">
        <v>88</v>
      </c>
      <c r="I16" s="67" t="s">
        <v>74</v>
      </c>
    </row>
    <row r="17" ht="15" spans="2:9">
      <c r="B17" s="5" t="s">
        <v>89</v>
      </c>
      <c r="C17" s="92" t="s">
        <v>90</v>
      </c>
      <c r="D17" s="11"/>
      <c r="E17" s="29">
        <v>1</v>
      </c>
      <c r="F17" s="29">
        <v>0.1</v>
      </c>
      <c r="G17" s="29">
        <f>PRODUCT(E17:F17)</f>
        <v>0.1</v>
      </c>
      <c r="H17" s="29"/>
      <c r="I17" s="42">
        <f>PRODUCT(H17,E17)</f>
        <v>1</v>
      </c>
    </row>
    <row r="18" ht="14.25" spans="2:9">
      <c r="B18" s="38"/>
      <c r="C18" s="55"/>
      <c r="D18" s="55"/>
      <c r="E18" s="27"/>
      <c r="F18" s="27"/>
      <c r="G18" s="27">
        <f t="shared" ref="G18:G21" si="0">PRODUCT(E18:F18)</f>
        <v>0</v>
      </c>
      <c r="H18" s="27"/>
      <c r="I18" s="39">
        <f t="shared" ref="I18:I21" si="1">PRODUCT(H18,E18)</f>
        <v>0</v>
      </c>
    </row>
    <row r="19" ht="15" spans="2:9">
      <c r="B19" s="41"/>
      <c r="C19" s="11"/>
      <c r="D19" s="11"/>
      <c r="E19" s="29"/>
      <c r="F19" s="29"/>
      <c r="G19" s="29">
        <f t="shared" si="0"/>
        <v>0</v>
      </c>
      <c r="H19" s="29"/>
      <c r="I19" s="42">
        <f t="shared" si="1"/>
        <v>0</v>
      </c>
    </row>
    <row r="20" ht="14.25" spans="2:9">
      <c r="B20" s="38"/>
      <c r="C20" s="55"/>
      <c r="D20" s="55"/>
      <c r="E20" s="27"/>
      <c r="F20" s="27"/>
      <c r="G20" s="27">
        <f t="shared" si="0"/>
        <v>0</v>
      </c>
      <c r="H20" s="27"/>
      <c r="I20" s="39">
        <f t="shared" si="1"/>
        <v>0</v>
      </c>
    </row>
    <row r="21" ht="15.75" spans="2:9">
      <c r="B21" s="45"/>
      <c r="C21" s="56"/>
      <c r="D21" s="56"/>
      <c r="E21" s="52"/>
      <c r="F21" s="52"/>
      <c r="G21" s="52">
        <f t="shared" si="0"/>
        <v>0</v>
      </c>
      <c r="H21" s="52"/>
      <c r="I21" s="46">
        <f t="shared" si="1"/>
        <v>0</v>
      </c>
    </row>
    <row r="22" ht="15"/>
    <row r="23" ht="15.75" spans="2:4">
      <c r="B23" s="1" t="s">
        <v>91</v>
      </c>
      <c r="C23" s="57">
        <f>SUM(G17:G21,F9:F13,E4:E5)</f>
        <v>22.1</v>
      </c>
      <c r="D23" s="2">
        <f>Ligma!C3*3</f>
        <v>48</v>
      </c>
    </row>
    <row r="24" ht="14.25" spans="2:4">
      <c r="B24" s="58" t="s">
        <v>92</v>
      </c>
      <c r="C24" s="59">
        <f>Ligma!C3*10</f>
        <v>160</v>
      </c>
      <c r="D24" s="60"/>
    </row>
    <row r="25" ht="15.75" spans="2:4">
      <c r="B25" s="7" t="s">
        <v>93</v>
      </c>
      <c r="C25" s="61" t="str">
        <f>IF(C23&gt;D23,"Sobrecarga","Sem Penalidade")</f>
        <v>Sem Penalidade</v>
      </c>
      <c r="D25" s="62"/>
    </row>
    <row r="26" ht="14.25"/>
  </sheetData>
  <mergeCells count="11">
    <mergeCell ref="B2:F2"/>
    <mergeCell ref="B7:H7"/>
    <mergeCell ref="B15:I15"/>
    <mergeCell ref="C16:D16"/>
    <mergeCell ref="C17:D17"/>
    <mergeCell ref="C18:D18"/>
    <mergeCell ref="C19:D19"/>
    <mergeCell ref="C20:D20"/>
    <mergeCell ref="C21:D21"/>
    <mergeCell ref="C24:D24"/>
    <mergeCell ref="C25:D25"/>
  </mergeCells>
  <pageMargins left="0.511811024" right="0.511811024" top="0.787401575" bottom="0.787401575" header="0.31496062" footer="0.31496062"/>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1:P33"/>
  <sheetViews>
    <sheetView workbookViewId="0">
      <selection activeCell="C21" sqref="C21"/>
    </sheetView>
  </sheetViews>
  <sheetFormatPr defaultColWidth="9" defaultRowHeight="13.5"/>
  <cols>
    <col min="2" max="2" width="22" customWidth="1"/>
    <col min="3" max="3" width="9.56666666666667" customWidth="1"/>
    <col min="4" max="4" width="10.5666666666667" customWidth="1"/>
    <col min="5" max="5" width="13.2833333333333" customWidth="1"/>
    <col min="6" max="7" width="11.425" customWidth="1"/>
    <col min="8" max="8" width="11.1416666666667" customWidth="1"/>
    <col min="9" max="9" width="21.425" customWidth="1"/>
    <col min="10" max="10" width="10.1416666666667" customWidth="1"/>
    <col min="11" max="11" width="13.8583333333333" customWidth="1"/>
    <col min="12" max="12" width="21.425" customWidth="1"/>
    <col min="13" max="13" width="26.7083333333333" customWidth="1"/>
    <col min="14" max="14" width="9.85833333333333" customWidth="1"/>
    <col min="15" max="15" width="12.5666666666667" customWidth="1"/>
  </cols>
  <sheetData>
    <row r="1" ht="14.25"/>
    <row r="2" ht="15" customHeight="1" spans="2:16">
      <c r="B2" s="24" t="s">
        <v>94</v>
      </c>
      <c r="C2" s="25" t="s">
        <v>95</v>
      </c>
      <c r="D2" s="25" t="s">
        <v>1</v>
      </c>
      <c r="E2" s="25" t="s">
        <v>96</v>
      </c>
      <c r="F2" s="25" t="s">
        <v>97</v>
      </c>
      <c r="G2" s="25" t="s">
        <v>39</v>
      </c>
      <c r="H2" s="25" t="s">
        <v>24</v>
      </c>
      <c r="I2" s="25" t="s">
        <v>98</v>
      </c>
      <c r="J2" s="25" t="s">
        <v>67</v>
      </c>
      <c r="K2" s="33" t="s">
        <v>99</v>
      </c>
      <c r="L2" s="33" t="s">
        <v>100</v>
      </c>
      <c r="M2" s="34" t="s">
        <v>101</v>
      </c>
      <c r="O2" s="35" t="s">
        <v>102</v>
      </c>
      <c r="P2" s="36"/>
    </row>
    <row r="3" ht="14.25" spans="2:16">
      <c r="B3" s="26" t="s">
        <v>103</v>
      </c>
      <c r="C3" s="27" t="s">
        <v>104</v>
      </c>
      <c r="D3" s="27">
        <f>VLOOKUP(C3,Ligma!$B$3:$D$8,3,FALSE)</f>
        <v>3</v>
      </c>
      <c r="E3" s="27">
        <f>VLOOKUP(Ligma!$G$2,'uns dados aí'!$I$3:$J$22,2,FALSE)</f>
        <v>0</v>
      </c>
      <c r="F3" s="27" t="str">
        <f>IF(Tabela1[[#This Row],[Treinada?]]="sim",VLOOKUP(Ligma!$G$2,'uns dados aí'!$E$2:$F$4,2,TRUE),"")</f>
        <v/>
      </c>
      <c r="G3" s="27"/>
      <c r="H3" s="27"/>
      <c r="I3" s="27"/>
      <c r="J3" s="27">
        <f>SUM(Tabela1[[#This Row],[MOD]:[Bônus Habilidade]])-IF(Tabela1[[#This Row],[Penalidade de Armadura?]]="sim",Ligma!$D$16,0)</f>
        <v>3</v>
      </c>
      <c r="K3" s="27" t="s">
        <v>105</v>
      </c>
      <c r="L3" s="27" t="s">
        <v>106</v>
      </c>
      <c r="M3" s="37" t="s">
        <v>107</v>
      </c>
      <c r="O3" s="38" t="s">
        <v>34</v>
      </c>
      <c r="P3" s="39">
        <v>2</v>
      </c>
    </row>
    <row r="4" ht="15" spans="2:16">
      <c r="B4" s="28" t="s">
        <v>108</v>
      </c>
      <c r="C4" s="29" t="s">
        <v>109</v>
      </c>
      <c r="D4" s="29">
        <f>VLOOKUP(C4,Ligma!$B$3:$D$8,3,FALSE)</f>
        <v>2</v>
      </c>
      <c r="E4" s="29">
        <f>VLOOKUP(Ligma!$G$2,'uns dados aí'!$I$3:$J$22,2,FALSE)</f>
        <v>0</v>
      </c>
      <c r="F4" s="29" t="str">
        <f>IF(Tabela1[[#This Row],[Treinada?]]="sim",VLOOKUP(Ligma!$G$2,'uns dados aí'!$E$2:$F$4,2,TRUE),"")</f>
        <v/>
      </c>
      <c r="G4" s="29"/>
      <c r="H4" s="29"/>
      <c r="I4" s="29"/>
      <c r="J4" s="29">
        <f>SUM(Tabela1[[#This Row],[MOD]:[Bônus Habilidade]])-IF(Tabela1[[#This Row],[Penalidade de Armadura?]]="sim",Ligma!$D$16,0)</f>
        <v>2</v>
      </c>
      <c r="K4" s="29" t="s">
        <v>105</v>
      </c>
      <c r="L4" s="29" t="s">
        <v>107</v>
      </c>
      <c r="M4" s="40" t="s">
        <v>106</v>
      </c>
      <c r="O4" s="41" t="s">
        <v>51</v>
      </c>
      <c r="P4" s="42">
        <v>4</v>
      </c>
    </row>
    <row r="5" ht="15" spans="2:16">
      <c r="B5" s="26" t="s">
        <v>110</v>
      </c>
      <c r="C5" s="27" t="s">
        <v>111</v>
      </c>
      <c r="D5" s="27">
        <f>VLOOKUP(C5,Ligma!$B$3:$D$8,3,FALSE)</f>
        <v>3</v>
      </c>
      <c r="E5" s="27">
        <f>VLOOKUP(Ligma!$G$2,'uns dados aí'!$I$3:$J$22,2,FALSE)</f>
        <v>0</v>
      </c>
      <c r="F5" s="27" t="str">
        <f>IF(Tabela1[[#This Row],[Treinada?]]="sim",VLOOKUP(Ligma!$G$2,'uns dados aí'!$E$2:$F$4,2,TRUE),"")</f>
        <v/>
      </c>
      <c r="G5" s="27"/>
      <c r="H5" s="27"/>
      <c r="I5" s="27"/>
      <c r="J5" s="27">
        <f>SUM(Tabela1[[#This Row],[MOD]:[Bônus Habilidade]])-IF(Tabela1[[#This Row],[Penalidade de Armadura?]]="sim",Ligma!$D$16,0)</f>
        <v>3</v>
      </c>
      <c r="K5" s="27" t="s">
        <v>105</v>
      </c>
      <c r="L5" s="27" t="s">
        <v>106</v>
      </c>
      <c r="M5" s="37" t="s">
        <v>106</v>
      </c>
      <c r="O5" s="43" t="s">
        <v>59</v>
      </c>
      <c r="P5" s="44">
        <v>6</v>
      </c>
    </row>
    <row r="6" ht="16.5" spans="2:13">
      <c r="B6" s="28" t="s">
        <v>112</v>
      </c>
      <c r="C6" s="29" t="s">
        <v>109</v>
      </c>
      <c r="D6" s="29">
        <f>VLOOKUP(C6,Ligma!$B$3:$D$8,3,FALSE)</f>
        <v>2</v>
      </c>
      <c r="E6" s="29">
        <f>VLOOKUP(Ligma!$G$2,'uns dados aí'!$I$3:$J$22,2,FALSE)</f>
        <v>0</v>
      </c>
      <c r="F6" s="29" t="str">
        <f>IF(Tabela1[[#This Row],[Treinada?]]="sim",VLOOKUP(Ligma!$G$2,'uns dados aí'!$E$2:$F$4,2,TRUE),"")</f>
        <v/>
      </c>
      <c r="G6" s="29"/>
      <c r="H6" s="29"/>
      <c r="I6" s="29"/>
      <c r="J6" s="29">
        <f>SUM(Tabela1[[#This Row],[MOD]:[Bônus Habilidade]])-IF(Tabela1[[#This Row],[Penalidade de Armadura?]]="sim",Ligma!$D$16,0)</f>
        <v>2</v>
      </c>
      <c r="K6" s="29" t="s">
        <v>105</v>
      </c>
      <c r="L6" s="29" t="s">
        <v>106</v>
      </c>
      <c r="M6" s="40" t="s">
        <v>106</v>
      </c>
    </row>
    <row r="7" ht="15.75" customHeight="1" spans="2:16">
      <c r="B7" s="26" t="s">
        <v>113</v>
      </c>
      <c r="C7" s="27" t="s">
        <v>104</v>
      </c>
      <c r="D7" s="27">
        <f>VLOOKUP(C7,Ligma!$B$3:$D$8,3,FALSE)</f>
        <v>3</v>
      </c>
      <c r="E7" s="27">
        <f>VLOOKUP(Ligma!$G$2,'uns dados aí'!$I$3:$J$22,2,FALSE)</f>
        <v>0</v>
      </c>
      <c r="F7" s="27" t="str">
        <f>IF(Tabela1[[#This Row],[Treinada?]]="sim",VLOOKUP(Ligma!$G$2,'uns dados aí'!$E$2:$F$4,2,TRUE),"")</f>
        <v/>
      </c>
      <c r="G7" s="27"/>
      <c r="H7" s="27"/>
      <c r="I7" s="27"/>
      <c r="J7" s="27">
        <f>SUM(Tabela1[[#This Row],[MOD]:[Bônus Habilidade]])-IF(Tabela1[[#This Row],[Penalidade de Armadura?]]="sim",Ligma!$D$16,0)</f>
        <v>3</v>
      </c>
      <c r="K7" s="27" t="s">
        <v>105</v>
      </c>
      <c r="L7" s="27" t="s">
        <v>106</v>
      </c>
      <c r="M7" s="37" t="s">
        <v>106</v>
      </c>
      <c r="O7" s="35" t="s">
        <v>114</v>
      </c>
      <c r="P7" s="36"/>
    </row>
    <row r="8" ht="15" customHeight="1" spans="2:16">
      <c r="B8" s="28" t="s">
        <v>115</v>
      </c>
      <c r="C8" s="29" t="s">
        <v>116</v>
      </c>
      <c r="D8" s="29">
        <f>VLOOKUP(C8,Ligma!$B$3:$D$8,3,FALSE)</f>
        <v>5</v>
      </c>
      <c r="E8" s="29">
        <f>VLOOKUP(Ligma!$G$2,'uns dados aí'!$I$3:$J$22,2,FALSE)</f>
        <v>0</v>
      </c>
      <c r="F8" s="29">
        <f>IF(Tabela1[[#This Row],[Treinada?]]="sim",VLOOKUP(Ligma!$G$2,'uns dados aí'!$E$2:$F$4,2,TRUE),"")</f>
        <v>2</v>
      </c>
      <c r="G8" s="29"/>
      <c r="H8" s="29"/>
      <c r="I8" s="29"/>
      <c r="J8" s="29">
        <f>SUM(Tabela1[[#This Row],[MOD]:[Bônus Habilidade]])-IF(Tabela1[[#This Row],[Penalidade de Armadura?]]="sim",Ligma!$D$16,0)</f>
        <v>7</v>
      </c>
      <c r="K8" s="29" t="s">
        <v>107</v>
      </c>
      <c r="L8" s="29" t="s">
        <v>107</v>
      </c>
      <c r="M8" s="40" t="s">
        <v>106</v>
      </c>
      <c r="O8" s="38" t="s">
        <v>4</v>
      </c>
      <c r="P8" s="39">
        <f>VLOOKUP(O8,'uns dados aí'!$B$16:$E$22,4,FALSE)</f>
        <v>0</v>
      </c>
    </row>
    <row r="9" ht="15" spans="2:16">
      <c r="B9" s="26" t="s">
        <v>117</v>
      </c>
      <c r="C9" s="27" t="s">
        <v>118</v>
      </c>
      <c r="D9" s="27">
        <f>VLOOKUP(C9,Ligma!$B$3:$D$8,3,FALSE)</f>
        <v>3</v>
      </c>
      <c r="E9" s="27">
        <f>VLOOKUP(Ligma!$G$2,'uns dados aí'!$I$3:$J$22,2,FALSE)</f>
        <v>0</v>
      </c>
      <c r="F9" s="27">
        <f>IF(Tabela1[[#This Row],[Treinada?]]="sim",VLOOKUP(Ligma!$G$2,'uns dados aí'!$E$2:$F$4,2,TRUE),"")</f>
        <v>2</v>
      </c>
      <c r="G9" s="27"/>
      <c r="H9" s="27"/>
      <c r="I9" s="27"/>
      <c r="J9" s="27">
        <f>SUM(Tabela1[[#This Row],[MOD]:[Bônus Habilidade]])-IF(Tabela1[[#This Row],[Penalidade de Armadura?]]="sim",Ligma!$D$16,0)</f>
        <v>5</v>
      </c>
      <c r="K9" s="27" t="s">
        <v>107</v>
      </c>
      <c r="L9" s="27" t="s">
        <v>106</v>
      </c>
      <c r="M9" s="37" t="s">
        <v>106</v>
      </c>
      <c r="O9" s="41" t="s">
        <v>9</v>
      </c>
      <c r="P9" s="42">
        <f>VLOOKUP(O9,'uns dados aí'!$B$16:$E$22,4,FALSE)</f>
        <v>2</v>
      </c>
    </row>
    <row r="10" ht="15" spans="2:16">
      <c r="B10" s="28" t="s">
        <v>119</v>
      </c>
      <c r="C10" s="29" t="s">
        <v>109</v>
      </c>
      <c r="D10" s="29">
        <f>VLOOKUP(C10,Ligma!$B$3:$D$8,3,FALSE)</f>
        <v>2</v>
      </c>
      <c r="E10" s="29">
        <f>VLOOKUP(Ligma!$G$2,'uns dados aí'!$I$3:$J$22,2,FALSE)</f>
        <v>0</v>
      </c>
      <c r="F10" s="29" t="str">
        <f>IF(Tabela1[[#This Row],[Treinada?]]="sim",VLOOKUP(Ligma!$G$2,'uns dados aí'!$E$2:$F$4,2,TRUE),"")</f>
        <v/>
      </c>
      <c r="G10" s="29"/>
      <c r="H10" s="29"/>
      <c r="I10" s="29"/>
      <c r="J10" s="29">
        <f>SUM(Tabela1[[#This Row],[MOD]:[Bônus Habilidade]])-IF(Tabela1[[#This Row],[Penalidade de Armadura?]]="sim",Ligma!$D$16,0)</f>
        <v>2</v>
      </c>
      <c r="K10" s="29" t="s">
        <v>105</v>
      </c>
      <c r="L10" s="29" t="s">
        <v>106</v>
      </c>
      <c r="M10" s="40" t="s">
        <v>106</v>
      </c>
      <c r="O10" s="38" t="s">
        <v>10</v>
      </c>
      <c r="P10" s="39">
        <f>VLOOKUP(O10,'uns dados aí'!$B$16:$E$22,4,FALSE)</f>
        <v>-2</v>
      </c>
    </row>
    <row r="11" ht="15" spans="2:16">
      <c r="B11" s="26" t="s">
        <v>120</v>
      </c>
      <c r="C11" s="27" t="s">
        <v>109</v>
      </c>
      <c r="D11" s="27">
        <f>VLOOKUP(C11,Ligma!$B$3:$D$8,3,FALSE)</f>
        <v>2</v>
      </c>
      <c r="E11" s="27">
        <f>VLOOKUP(Ligma!$G$2,'uns dados aí'!$I$3:$J$22,2,FALSE)</f>
        <v>0</v>
      </c>
      <c r="F11" s="27" t="str">
        <f>IF(Tabela1[[#This Row],[Treinada?]]="sim",VLOOKUP(Ligma!$G$2,'uns dados aí'!$E$2:$F$4,2,TRUE),"")</f>
        <v/>
      </c>
      <c r="G11" s="27"/>
      <c r="H11" s="27"/>
      <c r="I11" s="27"/>
      <c r="J11" s="27">
        <f>SUM(Tabela1[[#This Row],[MOD]:[Bônus Habilidade]])-IF(Tabela1[[#This Row],[Penalidade de Armadura?]]="sim",Ligma!$D$16,0)</f>
        <v>2</v>
      </c>
      <c r="K11" s="27" t="s">
        <v>105</v>
      </c>
      <c r="L11" s="27" t="s">
        <v>106</v>
      </c>
      <c r="M11" s="37" t="s">
        <v>106</v>
      </c>
      <c r="O11" s="41" t="s">
        <v>12</v>
      </c>
      <c r="P11" s="42">
        <f>VLOOKUP(O11,'uns dados aí'!$B$16:$E$22,4,FALSE)</f>
        <v>4</v>
      </c>
    </row>
    <row r="12" ht="15" spans="2:16">
      <c r="B12" s="28" t="s">
        <v>121</v>
      </c>
      <c r="C12" s="29" t="s">
        <v>122</v>
      </c>
      <c r="D12" s="29">
        <f>VLOOKUP(C12,Ligma!$B$3:$D$8,3,FALSE)</f>
        <v>1</v>
      </c>
      <c r="E12" s="29">
        <f>VLOOKUP(Ligma!$G$2,'uns dados aí'!$I$3:$J$22,2,FALSE)</f>
        <v>0</v>
      </c>
      <c r="F12" s="29" t="str">
        <f>IF(Tabela1[[#This Row],[Treinada?]]="sim",VLOOKUP(Ligma!$G$2,'uns dados aí'!$E$2:$F$4,2,TRUE),"")</f>
        <v/>
      </c>
      <c r="G12" s="29"/>
      <c r="H12" s="29"/>
      <c r="I12" s="29"/>
      <c r="J12" s="29">
        <f>SUM(Tabela1[[#This Row],[MOD]:[Bônus Habilidade]])-IF(Tabela1[[#This Row],[Penalidade de Armadura?]]="sim",Ligma!$D$16,0)</f>
        <v>1</v>
      </c>
      <c r="K12" s="29" t="s">
        <v>105</v>
      </c>
      <c r="L12" s="29" t="s">
        <v>106</v>
      </c>
      <c r="M12" s="40" t="s">
        <v>106</v>
      </c>
      <c r="O12" s="38" t="s">
        <v>14</v>
      </c>
      <c r="P12" s="39">
        <f>VLOOKUP(O12,'uns dados aí'!$B$16:$E$22,4,FALSE)</f>
        <v>0</v>
      </c>
    </row>
    <row r="13" ht="15.75" spans="2:16">
      <c r="B13" s="26" t="s">
        <v>123</v>
      </c>
      <c r="C13" s="27" t="s">
        <v>104</v>
      </c>
      <c r="D13" s="27">
        <f>VLOOKUP(C13,Ligma!$B$3:$D$8,3,FALSE)</f>
        <v>3</v>
      </c>
      <c r="E13" s="27">
        <f>VLOOKUP(Ligma!$G$2,'uns dados aí'!$I$3:$J$22,2,FALSE)</f>
        <v>0</v>
      </c>
      <c r="F13" s="27" t="str">
        <f>IF(Tabela1[[#This Row],[Treinada?]]="sim",VLOOKUP(Ligma!$G$2,'uns dados aí'!$E$2:$F$4,2,TRUE),"")</f>
        <v/>
      </c>
      <c r="G13" s="27"/>
      <c r="H13" s="27"/>
      <c r="I13" s="27"/>
      <c r="J13" s="27">
        <f>SUM(Tabela1[[#This Row],[MOD]:[Bônus Habilidade]])-IF(Tabela1[[#This Row],[Penalidade de Armadura?]]="sim",Ligma!$D$16,0)</f>
        <v>3</v>
      </c>
      <c r="K13" s="27" t="s">
        <v>105</v>
      </c>
      <c r="L13" s="27" t="s">
        <v>106</v>
      </c>
      <c r="M13" s="37" t="s">
        <v>107</v>
      </c>
      <c r="O13" s="45" t="s">
        <v>16</v>
      </c>
      <c r="P13" s="46">
        <f>VLOOKUP(O13,'uns dados aí'!$B$16:$E$22,4,FALSE)</f>
        <v>0</v>
      </c>
    </row>
    <row r="14" ht="15.75" spans="2:13">
      <c r="B14" s="28" t="s">
        <v>124</v>
      </c>
      <c r="C14" s="29" t="s">
        <v>116</v>
      </c>
      <c r="D14" s="29">
        <f>VLOOKUP(C14,Ligma!$B$3:$D$8,3,FALSE)</f>
        <v>5</v>
      </c>
      <c r="E14" s="29">
        <f>VLOOKUP(Ligma!$G$2,'uns dados aí'!$I$3:$J$22,2,FALSE)</f>
        <v>0</v>
      </c>
      <c r="F14" s="29">
        <f>IF(Tabela1[[#This Row],[Treinada?]]="sim",VLOOKUP(Ligma!$G$2,'uns dados aí'!$E$2:$F$4,2,TRUE),"")</f>
        <v>2</v>
      </c>
      <c r="G14" s="29"/>
      <c r="H14" s="29">
        <v>1</v>
      </c>
      <c r="I14" s="29"/>
      <c r="J14" s="29">
        <f>SUM(Tabela1[[#This Row],[MOD]:[Bônus Habilidade]])-IF(Tabela1[[#This Row],[Penalidade de Armadura?]]="sim",Ligma!$D$16,0)</f>
        <v>8</v>
      </c>
      <c r="K14" s="29" t="s">
        <v>107</v>
      </c>
      <c r="L14" s="29" t="s">
        <v>107</v>
      </c>
      <c r="M14" s="40" t="s">
        <v>106</v>
      </c>
    </row>
    <row r="15" ht="14.25" spans="2:13">
      <c r="B15" s="26" t="s">
        <v>125</v>
      </c>
      <c r="C15" s="27" t="s">
        <v>104</v>
      </c>
      <c r="D15" s="27">
        <f>VLOOKUP(C15,Ligma!$B$3:$D$8,3,FALSE)</f>
        <v>3</v>
      </c>
      <c r="E15" s="27">
        <f>VLOOKUP(Ligma!$G$2,'uns dados aí'!$I$3:$J$22,2,FALSE)</f>
        <v>0</v>
      </c>
      <c r="F15" s="27" t="str">
        <f>IF(Tabela1[[#This Row],[Treinada?]]="sim",VLOOKUP(Ligma!$G$2,'uns dados aí'!$E$2:$F$4,2,TRUE),"")</f>
        <v/>
      </c>
      <c r="G15" s="27"/>
      <c r="H15" s="27"/>
      <c r="I15" s="27"/>
      <c r="J15" s="27">
        <f>SUM(Tabela1[[#This Row],[MOD]:[Bônus Habilidade]])-IF(Tabela1[[#This Row],[Penalidade de Armadura?]]="sim",Ligma!$D$16,0)</f>
        <v>3</v>
      </c>
      <c r="K15" s="27" t="s">
        <v>105</v>
      </c>
      <c r="L15" s="27" t="s">
        <v>106</v>
      </c>
      <c r="M15" s="37" t="s">
        <v>106</v>
      </c>
    </row>
    <row r="16" ht="15" spans="2:13">
      <c r="B16" s="28" t="s">
        <v>126</v>
      </c>
      <c r="C16" s="29" t="s">
        <v>109</v>
      </c>
      <c r="D16" s="29">
        <f>VLOOKUP(C16,Ligma!$B$3:$D$8,3,FALSE)</f>
        <v>2</v>
      </c>
      <c r="E16" s="29">
        <f>VLOOKUP(Ligma!$G$2,'uns dados aí'!$I$3:$J$22,2,FALSE)</f>
        <v>0</v>
      </c>
      <c r="F16" s="29" t="str">
        <f>IF(Tabela1[[#This Row],[Treinada?]]="sim",VLOOKUP(Ligma!$G$2,'uns dados aí'!$E$2:$F$4,2,TRUE),"")</f>
        <v/>
      </c>
      <c r="G16" s="29"/>
      <c r="H16" s="29"/>
      <c r="I16" s="29"/>
      <c r="J16" s="29">
        <f>SUM(Tabela1[[#This Row],[MOD]:[Bônus Habilidade]])-IF(Tabela1[[#This Row],[Penalidade de Armadura?]]="sim",Ligma!$D$16,0)</f>
        <v>2</v>
      </c>
      <c r="K16" s="29" t="s">
        <v>105</v>
      </c>
      <c r="L16" s="29" t="s">
        <v>106</v>
      </c>
      <c r="M16" s="40" t="s">
        <v>106</v>
      </c>
    </row>
    <row r="17" ht="14.25" spans="2:13">
      <c r="B17" s="26" t="s">
        <v>127</v>
      </c>
      <c r="C17" s="27" t="s">
        <v>118</v>
      </c>
      <c r="D17" s="27">
        <f>VLOOKUP(C17,Ligma!$B$3:$D$8,3,FALSE)</f>
        <v>3</v>
      </c>
      <c r="E17" s="27">
        <f>VLOOKUP(Ligma!$G$2,'uns dados aí'!$I$3:$J$22,2,FALSE)</f>
        <v>0</v>
      </c>
      <c r="F17" s="27" t="str">
        <f>IF(Tabela1[[#This Row],[Treinada?]]="sim",VLOOKUP(Ligma!$G$2,'uns dados aí'!$E$2:$F$4,2,TRUE),"")</f>
        <v/>
      </c>
      <c r="G17" s="27"/>
      <c r="H17" s="27"/>
      <c r="I17" s="27"/>
      <c r="J17" s="27">
        <f>SUM(Tabela1[[#This Row],[MOD]:[Bônus Habilidade]])-IF(Tabela1[[#This Row],[Penalidade de Armadura?]]="sim",Ligma!$D$16,0)</f>
        <v>3</v>
      </c>
      <c r="K17" s="27" t="s">
        <v>105</v>
      </c>
      <c r="L17" s="27" t="s">
        <v>106</v>
      </c>
      <c r="M17" s="37" t="s">
        <v>106</v>
      </c>
    </row>
    <row r="18" ht="15" spans="2:13">
      <c r="B18" s="28" t="s">
        <v>128</v>
      </c>
      <c r="C18" s="29" t="s">
        <v>116</v>
      </c>
      <c r="D18" s="29">
        <f>VLOOKUP(C18,Ligma!$B$3:$D$8,3,FALSE)</f>
        <v>5</v>
      </c>
      <c r="E18" s="29">
        <f>VLOOKUP(Ligma!$G$2,'uns dados aí'!$I$3:$J$22,2,FALSE)</f>
        <v>0</v>
      </c>
      <c r="F18" s="29">
        <f>IF(Tabela1[[#This Row],[Treinada?]]="sim",VLOOKUP(Ligma!$G$2,'uns dados aí'!$E$2:$F$4,2,TRUE),"")</f>
        <v>2</v>
      </c>
      <c r="G18" s="29"/>
      <c r="H18" s="29"/>
      <c r="I18" s="29"/>
      <c r="J18" s="29">
        <f>SUM(Tabela1[[#This Row],[MOD]:[Bônus Habilidade]])-IF(Tabela1[[#This Row],[Penalidade de Armadura?]]="sim",Ligma!$D$16,0)</f>
        <v>7</v>
      </c>
      <c r="K18" s="29" t="s">
        <v>107</v>
      </c>
      <c r="L18" s="29" t="s">
        <v>106</v>
      </c>
      <c r="M18" s="40" t="s">
        <v>106</v>
      </c>
    </row>
    <row r="19" ht="14.25" spans="2:13">
      <c r="B19" s="26" t="s">
        <v>129</v>
      </c>
      <c r="C19" s="27" t="s">
        <v>109</v>
      </c>
      <c r="D19" s="27">
        <f>VLOOKUP(C19,Ligma!$B$3:$D$8,3,FALSE)</f>
        <v>2</v>
      </c>
      <c r="E19" s="27">
        <f>VLOOKUP(Ligma!$G$2,'uns dados aí'!$I$3:$J$22,2,FALSE)</f>
        <v>0</v>
      </c>
      <c r="F19" s="27" t="str">
        <f>IF(Tabela1[[#This Row],[Treinada?]]="sim",VLOOKUP(Ligma!$G$2,'uns dados aí'!$E$2:$F$4,2,TRUE),"")</f>
        <v/>
      </c>
      <c r="G19" s="27"/>
      <c r="H19" s="27"/>
      <c r="I19" s="27"/>
      <c r="J19" s="27">
        <f>SUM(Tabela1[[#This Row],[MOD]:[Bônus Habilidade]])-IF(Tabela1[[#This Row],[Penalidade de Armadura?]]="sim",Ligma!$D$16,0)</f>
        <v>2</v>
      </c>
      <c r="K19" s="27" t="s">
        <v>105</v>
      </c>
      <c r="L19" s="27" t="s">
        <v>107</v>
      </c>
      <c r="M19" s="37" t="s">
        <v>106</v>
      </c>
    </row>
    <row r="20" ht="15" spans="2:13">
      <c r="B20" s="28" t="s">
        <v>130</v>
      </c>
      <c r="C20" s="29" t="s">
        <v>104</v>
      </c>
      <c r="D20" s="29">
        <f>VLOOKUP(C20,Ligma!$B$3:$D$8,3,FALSE)</f>
        <v>3</v>
      </c>
      <c r="E20" s="29">
        <f>VLOOKUP(Ligma!$G$2,'uns dados aí'!$I$3:$J$22,2,FALSE)</f>
        <v>0</v>
      </c>
      <c r="F20" s="29" t="str">
        <f>IF(Tabela1[[#This Row],[Treinada?]]="sim",VLOOKUP(Ligma!$G$2,'uns dados aí'!$E$2:$F$4,2,TRUE),"")</f>
        <v/>
      </c>
      <c r="G20" s="29"/>
      <c r="H20" s="29"/>
      <c r="I20" s="29"/>
      <c r="J20" s="29">
        <f>SUM(Tabela1[[#This Row],[MOD]:[Bônus Habilidade]])-IF(Tabela1[[#This Row],[Penalidade de Armadura?]]="sim",Ligma!$D$16,0)</f>
        <v>3</v>
      </c>
      <c r="K20" s="29" t="s">
        <v>105</v>
      </c>
      <c r="L20" s="29" t="s">
        <v>107</v>
      </c>
      <c r="M20" s="40" t="s">
        <v>107</v>
      </c>
    </row>
    <row r="21" ht="14.25" spans="2:13">
      <c r="B21" s="26" t="s">
        <v>68</v>
      </c>
      <c r="C21" s="27" t="s">
        <v>111</v>
      </c>
      <c r="D21" s="27">
        <f>VLOOKUP(C21,Ligma!$B$3:$D$8,3,FALSE)</f>
        <v>3</v>
      </c>
      <c r="E21" s="27">
        <f>VLOOKUP(Ligma!$G$2,'uns dados aí'!$I$3:$J$22,2,FALSE)</f>
        <v>0</v>
      </c>
      <c r="F21" s="27">
        <f>IF(Tabela1[[#This Row],[Treinada?]]="sim",VLOOKUP(Ligma!$G$2,'uns dados aí'!$E$2:$F$4,2,TRUE),"")</f>
        <v>2</v>
      </c>
      <c r="G21" s="27"/>
      <c r="H21" s="27"/>
      <c r="I21" s="27"/>
      <c r="J21" s="27">
        <f>SUM(Tabela1[[#This Row],[MOD]:[Bônus Habilidade]])-IF(Tabela1[[#This Row],[Penalidade de Armadura?]]="sim",Ligma!$D$16,0)</f>
        <v>5</v>
      </c>
      <c r="K21" s="27" t="s">
        <v>107</v>
      </c>
      <c r="L21" s="27" t="s">
        <v>106</v>
      </c>
      <c r="M21" s="37" t="s">
        <v>106</v>
      </c>
    </row>
    <row r="22" ht="15" spans="2:13">
      <c r="B22" s="28" t="s">
        <v>131</v>
      </c>
      <c r="C22" s="29" t="s">
        <v>116</v>
      </c>
      <c r="D22" s="29">
        <f>VLOOKUP(C22,Ligma!$B$3:$D$8,3,FALSE)</f>
        <v>5</v>
      </c>
      <c r="E22" s="29">
        <f>VLOOKUP(Ligma!$G$2,'uns dados aí'!$I$3:$J$22,2,FALSE)</f>
        <v>0</v>
      </c>
      <c r="F22" s="29">
        <f>IF(Tabela1[[#This Row],[Treinada?]]="sim",VLOOKUP(Ligma!$G$2,'uns dados aí'!$E$2:$F$4,2,TRUE),"")</f>
        <v>2</v>
      </c>
      <c r="G22" s="29">
        <v>2</v>
      </c>
      <c r="H22" s="29"/>
      <c r="I22" s="29"/>
      <c r="J22" s="29">
        <f>SUM(Tabela1[[#This Row],[MOD]:[Bônus Habilidade]])-IF(Tabela1[[#This Row],[Penalidade de Armadura?]]="sim",Ligma!$D$16,0)</f>
        <v>9</v>
      </c>
      <c r="K22" s="29" t="s">
        <v>107</v>
      </c>
      <c r="L22" s="29" t="s">
        <v>107</v>
      </c>
      <c r="M22" s="40" t="s">
        <v>106</v>
      </c>
    </row>
    <row r="23" ht="14.25" spans="2:13">
      <c r="B23" s="26" t="s">
        <v>132</v>
      </c>
      <c r="C23" s="27" t="s">
        <v>116</v>
      </c>
      <c r="D23" s="27">
        <f>VLOOKUP(C23,Ligma!$B$3:$D$8,3,FALSE)</f>
        <v>5</v>
      </c>
      <c r="E23" s="27">
        <f>VLOOKUP(Ligma!$G$2,'uns dados aí'!$I$3:$J$22,2,FALSE)</f>
        <v>0</v>
      </c>
      <c r="F23" s="27" t="str">
        <f>IF(Tabela1[[#This Row],[Treinada?]]="sim",VLOOKUP(Ligma!$G$2,'uns dados aí'!$E$2:$F$4,2,TRUE),"")</f>
        <v/>
      </c>
      <c r="G23" s="27"/>
      <c r="H23" s="27"/>
      <c r="I23" s="27"/>
      <c r="J23" s="27">
        <f>SUM(Tabela1[[#This Row],[MOD]:[Bônus Habilidade]])-IF(Tabela1[[#This Row],[Penalidade de Armadura?]]="sim",Ligma!$D$16,0)</f>
        <v>5</v>
      </c>
      <c r="K23" s="27" t="s">
        <v>105</v>
      </c>
      <c r="L23" s="27" t="s">
        <v>107</v>
      </c>
      <c r="M23" s="37" t="s">
        <v>106</v>
      </c>
    </row>
    <row r="24" ht="15" spans="2:13">
      <c r="B24" s="28" t="s">
        <v>133</v>
      </c>
      <c r="C24" s="29" t="s">
        <v>116</v>
      </c>
      <c r="D24" s="29">
        <f>VLOOKUP(C24,Ligma!$B$3:$D$8,3,FALSE)</f>
        <v>5</v>
      </c>
      <c r="E24" s="29">
        <f>VLOOKUP(Ligma!$G$2,'uns dados aí'!$I$3:$J$22,2,FALSE)</f>
        <v>0</v>
      </c>
      <c r="F24" s="29">
        <f>IF(Tabela1[[#This Row],[Treinada?]]="sim",VLOOKUP(Ligma!$G$2,'uns dados aí'!$E$2:$F$4,2,TRUE),"")</f>
        <v>2</v>
      </c>
      <c r="G24" s="29"/>
      <c r="H24" s="29"/>
      <c r="I24" s="29"/>
      <c r="J24" s="29">
        <f>SUM(Tabela1[[#This Row],[MOD]:[Bônus Habilidade]])-IF(Tabela1[[#This Row],[Penalidade de Armadura?]]="sim",Ligma!$D$16,0)</f>
        <v>7</v>
      </c>
      <c r="K24" s="29" t="s">
        <v>107</v>
      </c>
      <c r="L24" s="29" t="s">
        <v>107</v>
      </c>
      <c r="M24" s="40" t="s">
        <v>106</v>
      </c>
    </row>
    <row r="25" ht="14.25" spans="2:13">
      <c r="B25" s="26" t="s">
        <v>134</v>
      </c>
      <c r="C25" s="27" t="s">
        <v>116</v>
      </c>
      <c r="D25" s="27">
        <f>VLOOKUP(C25,Ligma!$B$3:$D$8,3,FALSE)</f>
        <v>5</v>
      </c>
      <c r="E25" s="27">
        <f>VLOOKUP(Ligma!$G$2,'uns dados aí'!$I$3:$J$22,2,FALSE)</f>
        <v>0</v>
      </c>
      <c r="F25" s="27">
        <f>IF(Tabela1[[#This Row],[Treinada?]]="sim",VLOOKUP(Ligma!$G$2,'uns dados aí'!$E$2:$F$4,2,TRUE),"")</f>
        <v>2</v>
      </c>
      <c r="G25" s="27"/>
      <c r="H25" s="27"/>
      <c r="I25" s="27"/>
      <c r="J25" s="27">
        <f>SUM(Tabela1[[#This Row],[MOD]:[Bônus Habilidade]])-IF(Tabela1[[#This Row],[Penalidade de Armadura?]]="sim",Ligma!$D$16,0)</f>
        <v>7</v>
      </c>
      <c r="K25" s="27" t="s">
        <v>107</v>
      </c>
      <c r="L25" s="27" t="s">
        <v>107</v>
      </c>
      <c r="M25" s="37" t="s">
        <v>106</v>
      </c>
    </row>
    <row r="26" ht="15" spans="2:13">
      <c r="B26" s="30" t="s">
        <v>135</v>
      </c>
      <c r="C26" s="29" t="s">
        <v>116</v>
      </c>
      <c r="D26" s="29">
        <f>VLOOKUP(C26,Ligma!$B$3:$D$8,3,FALSE)</f>
        <v>5</v>
      </c>
      <c r="E26" s="29">
        <f>VLOOKUP(Ligma!$G$2,'uns dados aí'!$I$3:$J$22,2,FALSE)</f>
        <v>0</v>
      </c>
      <c r="F26" s="29">
        <f>IF(Tabela1[[#This Row],[Treinada?]]="sim",VLOOKUP(Ligma!$G$2,'uns dados aí'!$E$2:$F$4,2,TRUE),"")</f>
        <v>2</v>
      </c>
      <c r="G26" s="29"/>
      <c r="H26" s="29"/>
      <c r="I26" s="29"/>
      <c r="J26" s="29">
        <f>SUM(Tabela1[[#This Row],[MOD]:[Bônus Habilidade]])-IF(Tabela1[[#This Row],[Penalidade de Armadura?]]="sim",Ligma!$D$16,0)</f>
        <v>7</v>
      </c>
      <c r="K26" s="29" t="s">
        <v>107</v>
      </c>
      <c r="L26" s="29" t="s">
        <v>107</v>
      </c>
      <c r="M26" s="40" t="s">
        <v>106</v>
      </c>
    </row>
    <row r="27" ht="14.25" spans="2:13">
      <c r="B27" s="26" t="s">
        <v>136</v>
      </c>
      <c r="C27" s="27" t="s">
        <v>118</v>
      </c>
      <c r="D27" s="27">
        <f>VLOOKUP(C27,Ligma!$B$3:$D$8,3,FALSE)</f>
        <v>3</v>
      </c>
      <c r="E27" s="27">
        <f>VLOOKUP(Ligma!$G$2,'uns dados aí'!$I$3:$J$22,2,FALSE)</f>
        <v>0</v>
      </c>
      <c r="F27" s="27">
        <f>IF(Tabela1[[#This Row],[Treinada?]]="sim",VLOOKUP(Ligma!$G$2,'uns dados aí'!$E$2:$F$4,2,TRUE),"")</f>
        <v>2</v>
      </c>
      <c r="G27" s="27">
        <v>2</v>
      </c>
      <c r="H27" s="27"/>
      <c r="I27" s="27"/>
      <c r="J27" s="27">
        <f>SUM(Tabela1[[#This Row],[MOD]:[Bônus Habilidade]])-IF(Tabela1[[#This Row],[Penalidade de Armadura?]]="sim",Ligma!$D$16,0)</f>
        <v>7</v>
      </c>
      <c r="K27" s="27" t="s">
        <v>107</v>
      </c>
      <c r="L27" s="27" t="s">
        <v>106</v>
      </c>
      <c r="M27" s="37" t="s">
        <v>106</v>
      </c>
    </row>
    <row r="28" ht="15" spans="2:13">
      <c r="B28" s="28" t="s">
        <v>137</v>
      </c>
      <c r="C28" s="29" t="s">
        <v>104</v>
      </c>
      <c r="D28" s="29">
        <f>VLOOKUP(C28,Ligma!$B$3:$D$8,3,FALSE)</f>
        <v>3</v>
      </c>
      <c r="E28" s="29">
        <f>VLOOKUP(Ligma!$G$2,'uns dados aí'!$I$3:$J$22,2,FALSE)</f>
        <v>0</v>
      </c>
      <c r="F28" s="29" t="str">
        <f>IF(Tabela1[[#This Row],[Treinada?]]="sim",VLOOKUP(Ligma!$G$2,'uns dados aí'!$E$2:$F$4,2,TRUE),"")</f>
        <v/>
      </c>
      <c r="G28" s="29"/>
      <c r="H28" s="29"/>
      <c r="I28" s="29"/>
      <c r="J28" s="29">
        <f>SUM(Tabela1[[#This Row],[MOD]:[Bônus Habilidade]])-IF(Tabela1[[#This Row],[Penalidade de Armadura?]]="sim",Ligma!$D$16,0)</f>
        <v>3</v>
      </c>
      <c r="K28" s="29" t="s">
        <v>105</v>
      </c>
      <c r="L28" s="29" t="s">
        <v>107</v>
      </c>
      <c r="M28" s="40" t="s">
        <v>106</v>
      </c>
    </row>
    <row r="29" ht="14.25" spans="2:13">
      <c r="B29" s="26" t="s">
        <v>138</v>
      </c>
      <c r="C29" s="27" t="s">
        <v>104</v>
      </c>
      <c r="D29" s="27">
        <f>VLOOKUP(C29,Ligma!$B$3:$D$8,3,FALSE)</f>
        <v>3</v>
      </c>
      <c r="E29" s="27">
        <f>VLOOKUP(Ligma!$G$2,'uns dados aí'!$I$3:$J$22,2,FALSE)</f>
        <v>0</v>
      </c>
      <c r="F29" s="27" t="str">
        <f>IF(Tabela1[[#This Row],[Treinada?]]="sim",VLOOKUP(Ligma!$G$2,'uns dados aí'!$E$2:$F$4,2,TRUE),"")</f>
        <v/>
      </c>
      <c r="G29" s="27"/>
      <c r="H29" s="27"/>
      <c r="I29" s="27"/>
      <c r="J29" s="27">
        <f>SUM(Tabela1[[#This Row],[MOD]:[Bônus Habilidade]])-IF(Tabela1[[#This Row],[Penalidade de Armadura?]]="sim",Ligma!$D$16,0)</f>
        <v>3</v>
      </c>
      <c r="K29" s="27" t="s">
        <v>105</v>
      </c>
      <c r="L29" s="27" t="s">
        <v>106</v>
      </c>
      <c r="M29" s="37" t="s">
        <v>106</v>
      </c>
    </row>
    <row r="30" ht="15" spans="2:13">
      <c r="B30" s="28" t="s">
        <v>139</v>
      </c>
      <c r="C30" s="29" t="s">
        <v>104</v>
      </c>
      <c r="D30" s="29">
        <f>VLOOKUP(C30,Ligma!$B$3:$D$8,3,FALSE)</f>
        <v>3</v>
      </c>
      <c r="E30" s="29">
        <f>VLOOKUP(Ligma!$G$2,'uns dados aí'!$I$3:$J$22,2,FALSE)</f>
        <v>0</v>
      </c>
      <c r="F30" s="29">
        <f>IF(Tabela1[[#This Row],[Treinada?]]="sim",VLOOKUP(Ligma!$G$2,'uns dados aí'!$E$2:$F$4,2,TRUE),"")</f>
        <v>2</v>
      </c>
      <c r="G30" s="29"/>
      <c r="H30" s="29"/>
      <c r="I30" s="29"/>
      <c r="J30" s="29">
        <f>SUM(Tabela1[[#This Row],[MOD]:[Bônus Habilidade]])-IF(Tabela1[[#This Row],[Penalidade de Armadura?]]="sim",Ligma!$D$16,0)</f>
        <v>5</v>
      </c>
      <c r="K30" s="29" t="s">
        <v>107</v>
      </c>
      <c r="L30" s="29" t="s">
        <v>106</v>
      </c>
      <c r="M30" s="40" t="s">
        <v>106</v>
      </c>
    </row>
    <row r="31" ht="14.25" spans="2:13">
      <c r="B31" s="26" t="s">
        <v>140</v>
      </c>
      <c r="C31" s="27" t="s">
        <v>118</v>
      </c>
      <c r="D31" s="27">
        <f>VLOOKUP(C31,Ligma!$B$3:$D$8,3,FALSE)</f>
        <v>3</v>
      </c>
      <c r="E31" s="27">
        <f>VLOOKUP(Ligma!$G$2,'uns dados aí'!$I$3:$J$22,2,FALSE)</f>
        <v>0</v>
      </c>
      <c r="F31" s="27">
        <f>IF(Tabela1[[#This Row],[Treinada?]]="sim",VLOOKUP(Ligma!$G$2,'uns dados aí'!$E$2:$F$4,2,TRUE),"")</f>
        <v>2</v>
      </c>
      <c r="G31" s="27"/>
      <c r="H31" s="27"/>
      <c r="I31" s="27"/>
      <c r="J31" s="27">
        <f>SUM(Tabela1[[#This Row],[MOD]:[Bônus Habilidade]])-IF(Tabela1[[#This Row],[Penalidade de Armadura?]]="sim",Ligma!$D$16,0)</f>
        <v>5</v>
      </c>
      <c r="K31" s="27" t="s">
        <v>107</v>
      </c>
      <c r="L31" s="27" t="s">
        <v>107</v>
      </c>
      <c r="M31" s="37" t="s">
        <v>106</v>
      </c>
    </row>
    <row r="32" ht="15" spans="2:13">
      <c r="B32" s="28" t="s">
        <v>141</v>
      </c>
      <c r="C32" s="29" t="s">
        <v>118</v>
      </c>
      <c r="D32" s="29">
        <f>VLOOKUP(C32,Ligma!$B$3:$D$8,3,FALSE)</f>
        <v>3</v>
      </c>
      <c r="E32" s="29">
        <f>VLOOKUP(Ligma!$G$2,'uns dados aí'!$I$3:$J$22,2,FALSE)</f>
        <v>0</v>
      </c>
      <c r="F32" s="29" t="str">
        <f>IF(Tabela1[[#This Row],[Treinada?]]="sim",VLOOKUP(Ligma!$G$2,'uns dados aí'!$E$2:$F$4,2,TRUE),"")</f>
        <v/>
      </c>
      <c r="G32" s="29"/>
      <c r="H32" s="29"/>
      <c r="I32" s="29"/>
      <c r="J32" s="29">
        <f>SUM(Tabela1[[#This Row],[MOD]:[Bônus Habilidade]])-IF(Tabela1[[#This Row],[Penalidade de Armadura?]]="sim",Ligma!$D$16,0)</f>
        <v>3</v>
      </c>
      <c r="K32" s="29" t="s">
        <v>105</v>
      </c>
      <c r="L32" s="29" t="s">
        <v>106</v>
      </c>
      <c r="M32" s="40" t="s">
        <v>106</v>
      </c>
    </row>
    <row r="33" ht="14.25" spans="2:13">
      <c r="B33" s="31" t="s">
        <v>142</v>
      </c>
      <c r="C33" s="32" t="s">
        <v>118</v>
      </c>
      <c r="D33" s="32">
        <f>VLOOKUP(C33,Ligma!$B$3:$D$8,3,FALSE)</f>
        <v>3</v>
      </c>
      <c r="E33" s="32">
        <f>VLOOKUP(Ligma!$G$2,'uns dados aí'!$I$3:$J$22,2,FALSE)</f>
        <v>0</v>
      </c>
      <c r="F33" s="32">
        <f>IF(Tabela1[[#This Row],[Treinada?]]="sim",VLOOKUP(Ligma!$G$2,'uns dados aí'!$E$2:$F$4,2,TRUE),"")</f>
        <v>2</v>
      </c>
      <c r="G33" s="32"/>
      <c r="H33" s="32"/>
      <c r="I33" s="32"/>
      <c r="J33" s="32">
        <f>SUM(Tabela1[[#This Row],[MOD]:[Bônus Habilidade]])-IF(Tabela1[[#This Row],[Penalidade de Armadura?]]="sim",Ligma!$D$16,0)</f>
        <v>5</v>
      </c>
      <c r="K33" s="32" t="s">
        <v>107</v>
      </c>
      <c r="L33" s="32" t="s">
        <v>106</v>
      </c>
      <c r="M33" s="47" t="s">
        <v>106</v>
      </c>
    </row>
  </sheetData>
  <mergeCells count="2">
    <mergeCell ref="O2:P2"/>
    <mergeCell ref="O7:P7"/>
  </mergeCells>
  <pageMargins left="0.511811024" right="0.511811024" top="0.787401575" bottom="0.787401575" header="0.31496062" footer="0.31496062"/>
  <pageSetup paperSize="9" orientation="portrait"/>
  <headerFooter/>
  <tableParts count="1">
    <tablePart r:id="rId1"/>
  </tablePart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1:P33"/>
  <sheetViews>
    <sheetView workbookViewId="0">
      <selection activeCell="O24" sqref="O24"/>
    </sheetView>
  </sheetViews>
  <sheetFormatPr defaultColWidth="9" defaultRowHeight="13.5"/>
  <cols>
    <col min="2" max="2" width="22" customWidth="1"/>
    <col min="3" max="3" width="9.56666666666667" customWidth="1"/>
    <col min="4" max="4" width="10.5666666666667" customWidth="1"/>
    <col min="5" max="5" width="13.2833333333333" customWidth="1"/>
    <col min="6" max="7" width="11.425" customWidth="1"/>
    <col min="8" max="8" width="11.1416666666667" customWidth="1"/>
    <col min="9" max="9" width="21.425" customWidth="1"/>
    <col min="10" max="10" width="10.1416666666667" customWidth="1"/>
    <col min="11" max="11" width="13.8583333333333" customWidth="1"/>
    <col min="12" max="12" width="21.425" customWidth="1"/>
    <col min="13" max="13" width="26.7083333333333" customWidth="1"/>
    <col min="14" max="14" width="9.85833333333333" customWidth="1"/>
    <col min="15" max="15" width="12.5666666666667" customWidth="1"/>
  </cols>
  <sheetData>
    <row r="1" ht="14.25"/>
    <row r="2" ht="15" customHeight="1" spans="2:16">
      <c r="B2" s="24" t="s">
        <v>94</v>
      </c>
      <c r="C2" s="25" t="s">
        <v>95</v>
      </c>
      <c r="D2" s="25" t="s">
        <v>1</v>
      </c>
      <c r="E2" s="25" t="s">
        <v>96</v>
      </c>
      <c r="F2" s="25" t="s">
        <v>97</v>
      </c>
      <c r="G2" s="25" t="s">
        <v>39</v>
      </c>
      <c r="H2" s="25" t="s">
        <v>24</v>
      </c>
      <c r="I2" s="25" t="s">
        <v>98</v>
      </c>
      <c r="J2" s="25" t="s">
        <v>67</v>
      </c>
      <c r="K2" s="33" t="s">
        <v>99</v>
      </c>
      <c r="L2" s="33" t="s">
        <v>100</v>
      </c>
      <c r="M2" s="34" t="s">
        <v>101</v>
      </c>
      <c r="O2" s="35" t="s">
        <v>102</v>
      </c>
      <c r="P2" s="36"/>
    </row>
    <row r="3" ht="14.25" spans="2:16">
      <c r="B3" s="26" t="s">
        <v>103</v>
      </c>
      <c r="C3" s="27" t="s">
        <v>104</v>
      </c>
      <c r="D3" s="27">
        <f>VLOOKUP(C3,Ligma!$B$3:$D$8,3,FALSE)</f>
        <v>3</v>
      </c>
      <c r="E3" s="27">
        <f>VLOOKUP(Ligma!$G$2,'uns dados aí'!$I$3:$J$22,2,FALSE)</f>
        <v>0</v>
      </c>
      <c r="F3" s="27" t="str">
        <f>IF(Tabela14[[#This Row],[Treinada?]]="sim",VLOOKUP(Ligma!$G$2,'uns dados aí'!$E$2:$F$4,2,TRUE),"")</f>
        <v/>
      </c>
      <c r="G3" s="27"/>
      <c r="H3" s="27"/>
      <c r="I3" s="27"/>
      <c r="J3" s="27">
        <f>SUM(Tabela14[[#This Row],[MOD]:[Bônus Habilidade]])-IF(Tabela14[[#This Row],[Penalidade de Armadura?]]="sim",Ligma!D16,0)</f>
        <v>3</v>
      </c>
      <c r="K3" s="27" t="s">
        <v>105</v>
      </c>
      <c r="L3" s="27" t="s">
        <v>106</v>
      </c>
      <c r="M3" s="37" t="s">
        <v>107</v>
      </c>
      <c r="O3" s="38" t="s">
        <v>34</v>
      </c>
      <c r="P3" s="39">
        <v>2</v>
      </c>
    </row>
    <row r="4" ht="15" spans="2:16">
      <c r="B4" s="28" t="s">
        <v>108</v>
      </c>
      <c r="C4" s="29" t="s">
        <v>109</v>
      </c>
      <c r="D4" s="29">
        <f>VLOOKUP(C4,Ligma!$B$3:$D$8,3,FALSE)</f>
        <v>2</v>
      </c>
      <c r="E4" s="29">
        <f>VLOOKUP(Ligma!$G$2,'uns dados aí'!$I$3:$J$22,2,FALSE)</f>
        <v>0</v>
      </c>
      <c r="F4" s="29" t="str">
        <f>IF(Tabela14[[#This Row],[Treinada?]]="sim",VLOOKUP(Ligma!$G$2,'uns dados aí'!$E$2:$F$4,2,TRUE),"")</f>
        <v/>
      </c>
      <c r="G4" s="29"/>
      <c r="H4" s="29"/>
      <c r="I4" s="29"/>
      <c r="J4" s="29">
        <f>SUM(Tabela14[[#This Row],[MOD]:[Bônus Habilidade]])-IF(Tabela14[[#This Row],[Penalidade de Armadura?]]="sim",Ligma!D17,0)</f>
        <v>2</v>
      </c>
      <c r="K4" s="29" t="s">
        <v>105</v>
      </c>
      <c r="L4" s="29" t="s">
        <v>107</v>
      </c>
      <c r="M4" s="40" t="s">
        <v>106</v>
      </c>
      <c r="O4" s="41" t="s">
        <v>51</v>
      </c>
      <c r="P4" s="42">
        <v>4</v>
      </c>
    </row>
    <row r="5" ht="15" spans="2:16">
      <c r="B5" s="26" t="s">
        <v>110</v>
      </c>
      <c r="C5" s="27" t="s">
        <v>111</v>
      </c>
      <c r="D5" s="27">
        <f>VLOOKUP(C5,Ligma!$B$3:$D$8,3,FALSE)</f>
        <v>3</v>
      </c>
      <c r="E5" s="27">
        <f>VLOOKUP(Ligma!$G$2,'uns dados aí'!$I$3:$J$22,2,FALSE)</f>
        <v>0</v>
      </c>
      <c r="F5" s="27" t="str">
        <f>IF(Tabela14[[#This Row],[Treinada?]]="sim",VLOOKUP(Ligma!$G$2,'uns dados aí'!$E$2:$F$4,2,TRUE),"")</f>
        <v/>
      </c>
      <c r="G5" s="27"/>
      <c r="H5" s="27"/>
      <c r="I5" s="27"/>
      <c r="J5" s="27">
        <f>SUM(Tabela14[[#This Row],[MOD]:[Bônus Habilidade]])-IF(Tabela14[[#This Row],[Penalidade de Armadura?]]="sim",Poderes!C1,0)</f>
        <v>3</v>
      </c>
      <c r="K5" s="27" t="s">
        <v>105</v>
      </c>
      <c r="L5" s="27" t="s">
        <v>106</v>
      </c>
      <c r="M5" s="37" t="s">
        <v>106</v>
      </c>
      <c r="O5" s="43" t="s">
        <v>59</v>
      </c>
      <c r="P5" s="44">
        <v>6</v>
      </c>
    </row>
    <row r="6" ht="16.5" spans="2:13">
      <c r="B6" s="28" t="s">
        <v>112</v>
      </c>
      <c r="C6" s="29" t="s">
        <v>109</v>
      </c>
      <c r="D6" s="29">
        <f>VLOOKUP(C6,Ligma!$B$3:$D$8,3,FALSE)</f>
        <v>2</v>
      </c>
      <c r="E6" s="29">
        <f>VLOOKUP(Ligma!$G$2,'uns dados aí'!$I$3:$J$22,2,FALSE)</f>
        <v>0</v>
      </c>
      <c r="F6" s="29" t="str">
        <f>IF(Tabela14[[#This Row],[Treinada?]]="sim",VLOOKUP(Ligma!$G$2,'uns dados aí'!$E$2:$F$4,2,TRUE),"")</f>
        <v/>
      </c>
      <c r="G6" s="29"/>
      <c r="H6" s="29"/>
      <c r="I6" s="29"/>
      <c r="J6" s="29">
        <f>SUM(Tabela14[[#This Row],[MOD]:[Bônus Habilidade]])-IF(Tabela14[[#This Row],[Penalidade de Armadura?]]="sim",Poderes!C2,0)</f>
        <v>2</v>
      </c>
      <c r="K6" s="29" t="s">
        <v>105</v>
      </c>
      <c r="L6" s="29" t="s">
        <v>106</v>
      </c>
      <c r="M6" s="40" t="s">
        <v>106</v>
      </c>
    </row>
    <row r="7" ht="15.75" customHeight="1" spans="2:16">
      <c r="B7" s="26" t="s">
        <v>113</v>
      </c>
      <c r="C7" s="27" t="s">
        <v>104</v>
      </c>
      <c r="D7" s="27">
        <f>VLOOKUP(C7,Ligma!$B$3:$D$8,3,FALSE)</f>
        <v>3</v>
      </c>
      <c r="E7" s="27">
        <f>VLOOKUP(Ligma!$G$2,'uns dados aí'!$I$3:$J$22,2,FALSE)</f>
        <v>0</v>
      </c>
      <c r="F7" s="27" t="str">
        <f>IF(Tabela14[[#This Row],[Treinada?]]="sim",VLOOKUP(Ligma!$G$2,'uns dados aí'!$E$2:$F$4,2,TRUE),"")</f>
        <v/>
      </c>
      <c r="G7" s="27"/>
      <c r="H7" s="27"/>
      <c r="I7" s="27"/>
      <c r="J7" s="27">
        <f>SUM(Tabela14[[#This Row],[MOD]:[Bônus Habilidade]])-IF(Tabela14[[#This Row],[Penalidade de Armadura?]]="sim",Poderes!C3,0)</f>
        <v>3</v>
      </c>
      <c r="K7" s="27" t="s">
        <v>105</v>
      </c>
      <c r="L7" s="27" t="s">
        <v>106</v>
      </c>
      <c r="M7" s="37" t="s">
        <v>106</v>
      </c>
      <c r="O7" s="35" t="s">
        <v>114</v>
      </c>
      <c r="P7" s="36"/>
    </row>
    <row r="8" ht="15" customHeight="1" spans="2:16">
      <c r="B8" s="28" t="s">
        <v>115</v>
      </c>
      <c r="C8" s="29" t="s">
        <v>116</v>
      </c>
      <c r="D8" s="29">
        <f>VLOOKUP(C8,Ligma!$B$3:$D$8,3,FALSE)</f>
        <v>5</v>
      </c>
      <c r="E8" s="29">
        <f>VLOOKUP(Ligma!$G$2,'uns dados aí'!$I$3:$J$22,2,FALSE)</f>
        <v>0</v>
      </c>
      <c r="F8" s="29">
        <f>IF(Tabela14[[#This Row],[Treinada?]]="sim",VLOOKUP(Ligma!$G$2,'uns dados aí'!$E$2:$F$4,2,TRUE),"")</f>
        <v>2</v>
      </c>
      <c r="G8" s="29"/>
      <c r="H8" s="29"/>
      <c r="I8" s="29"/>
      <c r="J8" s="29">
        <f>SUM(Tabela14[[#This Row],[MOD]:[Bônus Habilidade]])-IF(Tabela14[[#This Row],[Penalidade de Armadura?]]="sim",Poderes!C4,0)</f>
        <v>7</v>
      </c>
      <c r="K8" s="29" t="s">
        <v>107</v>
      </c>
      <c r="L8" s="29" t="s">
        <v>107</v>
      </c>
      <c r="M8" s="40" t="s">
        <v>106</v>
      </c>
      <c r="O8" s="38" t="s">
        <v>4</v>
      </c>
      <c r="P8" s="39">
        <f>VLOOKUP(O8,'uns dados aí'!$B$16:$E$22,4,FALSE)</f>
        <v>0</v>
      </c>
    </row>
    <row r="9" ht="15" spans="2:16">
      <c r="B9" s="26" t="s">
        <v>117</v>
      </c>
      <c r="C9" s="27" t="s">
        <v>118</v>
      </c>
      <c r="D9" s="27">
        <f>VLOOKUP(C9,Ligma!$B$3:$D$8,3,FALSE)</f>
        <v>3</v>
      </c>
      <c r="E9" s="27">
        <f>VLOOKUP(Ligma!$G$2,'uns dados aí'!$I$3:$J$22,2,FALSE)</f>
        <v>0</v>
      </c>
      <c r="F9" s="27">
        <f>IF(Tabela14[[#This Row],[Treinada?]]="sim",VLOOKUP(Ligma!$G$2,'uns dados aí'!$E$2:$F$4,2,TRUE),"")</f>
        <v>2</v>
      </c>
      <c r="G9" s="27"/>
      <c r="H9" s="27"/>
      <c r="I9" s="27"/>
      <c r="J9" s="27">
        <f>SUM(Tabela14[[#This Row],[MOD]:[Bônus Habilidade]])-IF(Tabela14[[#This Row],[Penalidade de Armadura?]]="sim",Poderes!C5,0)</f>
        <v>5</v>
      </c>
      <c r="K9" s="27" t="s">
        <v>107</v>
      </c>
      <c r="L9" s="27" t="s">
        <v>106</v>
      </c>
      <c r="M9" s="37" t="s">
        <v>106</v>
      </c>
      <c r="O9" s="41" t="s">
        <v>9</v>
      </c>
      <c r="P9" s="42">
        <f>VLOOKUP(O9,'uns dados aí'!$B$16:$E$22,4,FALSE)</f>
        <v>2</v>
      </c>
    </row>
    <row r="10" ht="15" spans="2:16">
      <c r="B10" s="28" t="s">
        <v>119</v>
      </c>
      <c r="C10" s="29" t="s">
        <v>109</v>
      </c>
      <c r="D10" s="29">
        <f>VLOOKUP(C10,Ligma!$B$3:$D$8,3,FALSE)</f>
        <v>2</v>
      </c>
      <c r="E10" s="29">
        <f>VLOOKUP(Ligma!$G$2,'uns dados aí'!$I$3:$J$22,2,FALSE)</f>
        <v>0</v>
      </c>
      <c r="F10" s="29" t="str">
        <f>IF(Tabela14[[#This Row],[Treinada?]]="sim",VLOOKUP(Ligma!$G$2,'uns dados aí'!$E$2:$F$4,2,TRUE),"")</f>
        <v/>
      </c>
      <c r="G10" s="29"/>
      <c r="H10" s="29"/>
      <c r="I10" s="29"/>
      <c r="J10" s="29">
        <f>SUM(Tabela14[[#This Row],[MOD]:[Bônus Habilidade]])-IF(Tabela14[[#This Row],[Penalidade de Armadura?]]="sim",Poderes!C6,0)</f>
        <v>2</v>
      </c>
      <c r="K10" s="29" t="s">
        <v>105</v>
      </c>
      <c r="L10" s="29" t="s">
        <v>106</v>
      </c>
      <c r="M10" s="40" t="s">
        <v>106</v>
      </c>
      <c r="O10" s="38" t="s">
        <v>10</v>
      </c>
      <c r="P10" s="39">
        <f>VLOOKUP(O10,'uns dados aí'!$B$16:$E$22,4,FALSE)</f>
        <v>-2</v>
      </c>
    </row>
    <row r="11" ht="15" spans="2:16">
      <c r="B11" s="26" t="s">
        <v>120</v>
      </c>
      <c r="C11" s="27" t="s">
        <v>109</v>
      </c>
      <c r="D11" s="27">
        <f>VLOOKUP(C11,Ligma!$B$3:$D$8,3,FALSE)</f>
        <v>2</v>
      </c>
      <c r="E11" s="27">
        <f>VLOOKUP(Ligma!$G$2,'uns dados aí'!$I$3:$J$22,2,FALSE)</f>
        <v>0</v>
      </c>
      <c r="F11" s="27" t="str">
        <f>IF(Tabela14[[#This Row],[Treinada?]]="sim",VLOOKUP(Ligma!$G$2,'uns dados aí'!$E$2:$F$4,2,TRUE),"")</f>
        <v/>
      </c>
      <c r="G11" s="27"/>
      <c r="H11" s="27"/>
      <c r="I11" s="27"/>
      <c r="J11" s="27">
        <f>SUM(Tabela14[[#This Row],[MOD]:[Bônus Habilidade]])-IF(Tabela14[[#This Row],[Penalidade de Armadura?]]="sim",Poderes!C7,0)</f>
        <v>2</v>
      </c>
      <c r="K11" s="27" t="s">
        <v>105</v>
      </c>
      <c r="L11" s="27" t="s">
        <v>106</v>
      </c>
      <c r="M11" s="37" t="s">
        <v>106</v>
      </c>
      <c r="O11" s="41" t="s">
        <v>12</v>
      </c>
      <c r="P11" s="42">
        <f>VLOOKUP(O11,'uns dados aí'!$B$16:$E$22,4,FALSE)</f>
        <v>4</v>
      </c>
    </row>
    <row r="12" ht="15" spans="2:16">
      <c r="B12" s="28" t="s">
        <v>121</v>
      </c>
      <c r="C12" s="29" t="s">
        <v>122</v>
      </c>
      <c r="D12" s="29">
        <f>VLOOKUP(C12,Ligma!$B$3:$D$8,3,FALSE)</f>
        <v>1</v>
      </c>
      <c r="E12" s="29">
        <f>VLOOKUP(Ligma!$G$2,'uns dados aí'!$I$3:$J$22,2,FALSE)</f>
        <v>0</v>
      </c>
      <c r="F12" s="29" t="str">
        <f>IF(Tabela14[[#This Row],[Treinada?]]="sim",VLOOKUP(Ligma!$G$2,'uns dados aí'!$E$2:$F$4,2,TRUE),"")</f>
        <v/>
      </c>
      <c r="G12" s="29"/>
      <c r="H12" s="29"/>
      <c r="I12" s="29"/>
      <c r="J12" s="29">
        <f>SUM(Tabela14[[#This Row],[MOD]:[Bônus Habilidade]])-IF(Tabela14[[#This Row],[Penalidade de Armadura?]]="sim",Poderes!C8,0)</f>
        <v>1</v>
      </c>
      <c r="K12" s="29" t="s">
        <v>105</v>
      </c>
      <c r="L12" s="29" t="s">
        <v>106</v>
      </c>
      <c r="M12" s="40" t="s">
        <v>106</v>
      </c>
      <c r="O12" s="38" t="s">
        <v>14</v>
      </c>
      <c r="P12" s="39">
        <f>VLOOKUP(O12,'uns dados aí'!$B$16:$E$22,4,FALSE)</f>
        <v>0</v>
      </c>
    </row>
    <row r="13" ht="15.75" spans="2:16">
      <c r="B13" s="26" t="s">
        <v>123</v>
      </c>
      <c r="C13" s="27" t="s">
        <v>104</v>
      </c>
      <c r="D13" s="27">
        <f>VLOOKUP(C13,Ligma!$B$3:$D$8,3,FALSE)</f>
        <v>3</v>
      </c>
      <c r="E13" s="27">
        <f>VLOOKUP(Ligma!$G$2,'uns dados aí'!$I$3:$J$22,2,FALSE)</f>
        <v>0</v>
      </c>
      <c r="F13" s="27" t="str">
        <f>IF(Tabela14[[#This Row],[Treinada?]]="sim",VLOOKUP(Ligma!$G$2,'uns dados aí'!$E$2:$F$4,2,TRUE),"")</f>
        <v/>
      </c>
      <c r="G13" s="27"/>
      <c r="H13" s="27"/>
      <c r="I13" s="27"/>
      <c r="J13" s="27">
        <f>SUM(Tabela14[[#This Row],[MOD]:[Bônus Habilidade]])-IF(Tabela14[[#This Row],[Penalidade de Armadura?]]="sim",Poderes!C9,0)</f>
        <v>3</v>
      </c>
      <c r="K13" s="27" t="s">
        <v>105</v>
      </c>
      <c r="L13" s="27" t="s">
        <v>106</v>
      </c>
      <c r="M13" s="37" t="s">
        <v>107</v>
      </c>
      <c r="O13" s="45" t="s">
        <v>16</v>
      </c>
      <c r="P13" s="46">
        <f>VLOOKUP(O13,'uns dados aí'!$B$16:$E$22,4,FALSE)</f>
        <v>0</v>
      </c>
    </row>
    <row r="14" ht="15.75" spans="2:13">
      <c r="B14" s="28" t="s">
        <v>124</v>
      </c>
      <c r="C14" s="29" t="s">
        <v>116</v>
      </c>
      <c r="D14" s="29">
        <f>VLOOKUP(C14,Ligma!$B$3:$D$8,3,FALSE)</f>
        <v>5</v>
      </c>
      <c r="E14" s="29">
        <f>VLOOKUP(Ligma!$G$2,'uns dados aí'!$I$3:$J$22,2,FALSE)</f>
        <v>0</v>
      </c>
      <c r="F14" s="29">
        <f>IF(Tabela14[[#This Row],[Treinada?]]="sim",VLOOKUP(Ligma!$G$2,'uns dados aí'!$E$2:$F$4,2,TRUE),"")</f>
        <v>2</v>
      </c>
      <c r="G14" s="29"/>
      <c r="H14" s="29">
        <v>1</v>
      </c>
      <c r="I14" s="29"/>
      <c r="J14" s="29">
        <f>SUM(Tabela14[[#This Row],[MOD]:[Bônus Habilidade]])-IF(Tabela14[[#This Row],[Penalidade de Armadura?]]="sim",Poderes!C10,0)</f>
        <v>8</v>
      </c>
      <c r="K14" s="29" t="s">
        <v>107</v>
      </c>
      <c r="L14" s="29" t="s">
        <v>107</v>
      </c>
      <c r="M14" s="40" t="s">
        <v>106</v>
      </c>
    </row>
    <row r="15" ht="14.25" spans="2:13">
      <c r="B15" s="26" t="s">
        <v>125</v>
      </c>
      <c r="C15" s="27" t="s">
        <v>104</v>
      </c>
      <c r="D15" s="27">
        <f>VLOOKUP(C15,Ligma!$B$3:$D$8,3,FALSE)</f>
        <v>3</v>
      </c>
      <c r="E15" s="27">
        <f>VLOOKUP(Ligma!$G$2,'uns dados aí'!$I$3:$J$22,2,FALSE)</f>
        <v>0</v>
      </c>
      <c r="F15" s="27" t="str">
        <f>IF(Tabela14[[#This Row],[Treinada?]]="sim",VLOOKUP(Ligma!$G$2,'uns dados aí'!$E$2:$F$4,2,TRUE),"")</f>
        <v/>
      </c>
      <c r="G15" s="27"/>
      <c r="H15" s="27"/>
      <c r="I15" s="27"/>
      <c r="J15" s="27">
        <f>SUM(Tabela14[[#This Row],[MOD]:[Bônus Habilidade]])-IF(Tabela14[[#This Row],[Penalidade de Armadura?]]="sim",Poderes!C11,0)</f>
        <v>3</v>
      </c>
      <c r="K15" s="27" t="s">
        <v>105</v>
      </c>
      <c r="L15" s="27" t="s">
        <v>106</v>
      </c>
      <c r="M15" s="37" t="s">
        <v>106</v>
      </c>
    </row>
    <row r="16" ht="15" spans="2:13">
      <c r="B16" s="28" t="s">
        <v>126</v>
      </c>
      <c r="C16" s="29" t="s">
        <v>109</v>
      </c>
      <c r="D16" s="29">
        <f>VLOOKUP(C16,Ligma!$B$3:$D$8,3,FALSE)</f>
        <v>2</v>
      </c>
      <c r="E16" s="29">
        <f>VLOOKUP(Ligma!$G$2,'uns dados aí'!$I$3:$J$22,2,FALSE)</f>
        <v>0</v>
      </c>
      <c r="F16" s="29" t="str">
        <f>IF(Tabela14[[#This Row],[Treinada?]]="sim",VLOOKUP(Ligma!$G$2,'uns dados aí'!$E$2:$F$4,2,TRUE),"")</f>
        <v/>
      </c>
      <c r="G16" s="29"/>
      <c r="H16" s="29"/>
      <c r="I16" s="29"/>
      <c r="J16" s="29">
        <f>SUM(Tabela14[[#This Row],[MOD]:[Bônus Habilidade]])-IF(Tabela14[[#This Row],[Penalidade de Armadura?]]="sim",Poderes!C12,0)</f>
        <v>2</v>
      </c>
      <c r="K16" s="29" t="s">
        <v>105</v>
      </c>
      <c r="L16" s="29" t="s">
        <v>106</v>
      </c>
      <c r="M16" s="40" t="s">
        <v>106</v>
      </c>
    </row>
    <row r="17" ht="14.25" spans="2:13">
      <c r="B17" s="26" t="s">
        <v>127</v>
      </c>
      <c r="C17" s="27" t="s">
        <v>118</v>
      </c>
      <c r="D17" s="27">
        <f>VLOOKUP(C17,Ligma!$B$3:$D$8,3,FALSE)</f>
        <v>3</v>
      </c>
      <c r="E17" s="27">
        <f>VLOOKUP(Ligma!$G$2,'uns dados aí'!$I$3:$J$22,2,FALSE)</f>
        <v>0</v>
      </c>
      <c r="F17" s="27" t="str">
        <f>IF(Tabela14[[#This Row],[Treinada?]]="sim",VLOOKUP(Ligma!$G$2,'uns dados aí'!$E$2:$F$4,2,TRUE),"")</f>
        <v/>
      </c>
      <c r="G17" s="27"/>
      <c r="H17" s="27"/>
      <c r="I17" s="27"/>
      <c r="J17" s="27">
        <f>SUM(Tabela14[[#This Row],[MOD]:[Bônus Habilidade]])-IF(Tabela14[[#This Row],[Penalidade de Armadura?]]="sim",Poderes!C13,0)</f>
        <v>3</v>
      </c>
      <c r="K17" s="27" t="s">
        <v>105</v>
      </c>
      <c r="L17" s="27" t="s">
        <v>106</v>
      </c>
      <c r="M17" s="37" t="s">
        <v>106</v>
      </c>
    </row>
    <row r="18" ht="15" spans="2:13">
      <c r="B18" s="28" t="s">
        <v>128</v>
      </c>
      <c r="C18" s="29" t="s">
        <v>116</v>
      </c>
      <c r="D18" s="29">
        <f>VLOOKUP(C18,Ligma!$B$3:$D$8,3,FALSE)</f>
        <v>5</v>
      </c>
      <c r="E18" s="29">
        <f>VLOOKUP(Ligma!$G$2,'uns dados aí'!$I$3:$J$22,2,FALSE)</f>
        <v>0</v>
      </c>
      <c r="F18" s="29">
        <f>IF(Tabela14[[#This Row],[Treinada?]]="sim",VLOOKUP(Ligma!$G$2,'uns dados aí'!$E$2:$F$4,2,TRUE),"")</f>
        <v>2</v>
      </c>
      <c r="G18" s="29"/>
      <c r="H18" s="29"/>
      <c r="I18" s="29"/>
      <c r="J18" s="29">
        <f>SUM(Tabela14[[#This Row],[MOD]:[Bônus Habilidade]])-IF(Tabela14[[#This Row],[Penalidade de Armadura?]]="sim",Poderes!C14,0)</f>
        <v>7</v>
      </c>
      <c r="K18" s="29" t="s">
        <v>107</v>
      </c>
      <c r="L18" s="29" t="s">
        <v>106</v>
      </c>
      <c r="M18" s="40" t="s">
        <v>106</v>
      </c>
    </row>
    <row r="19" ht="14.25" spans="2:13">
      <c r="B19" s="26" t="s">
        <v>129</v>
      </c>
      <c r="C19" s="27" t="s">
        <v>109</v>
      </c>
      <c r="D19" s="27">
        <f>VLOOKUP(C19,Ligma!$B$3:$D$8,3,FALSE)</f>
        <v>2</v>
      </c>
      <c r="E19" s="27">
        <f>VLOOKUP(Ligma!$G$2,'uns dados aí'!$I$3:$J$22,2,FALSE)</f>
        <v>0</v>
      </c>
      <c r="F19" s="27" t="str">
        <f>IF(Tabela14[[#This Row],[Treinada?]]="sim",VLOOKUP(Ligma!$G$2,'uns dados aí'!$E$2:$F$4,2,TRUE),"")</f>
        <v/>
      </c>
      <c r="G19" s="27"/>
      <c r="H19" s="27"/>
      <c r="I19" s="27"/>
      <c r="J19" s="27">
        <f>SUM(Tabela14[[#This Row],[MOD]:[Bônus Habilidade]])-IF(Tabela14[[#This Row],[Penalidade de Armadura?]]="sim",Poderes!C15,0)</f>
        <v>2</v>
      </c>
      <c r="K19" s="27" t="s">
        <v>105</v>
      </c>
      <c r="L19" s="27" t="s">
        <v>107</v>
      </c>
      <c r="M19" s="37" t="s">
        <v>106</v>
      </c>
    </row>
    <row r="20" ht="15" spans="2:13">
      <c r="B20" s="28" t="s">
        <v>130</v>
      </c>
      <c r="C20" s="29" t="s">
        <v>104</v>
      </c>
      <c r="D20" s="29">
        <f>VLOOKUP(C20,Ligma!$B$3:$D$8,3,FALSE)</f>
        <v>3</v>
      </c>
      <c r="E20" s="29">
        <f>VLOOKUP(Ligma!$G$2,'uns dados aí'!$I$3:$J$22,2,FALSE)</f>
        <v>0</v>
      </c>
      <c r="F20" s="29" t="str">
        <f>IF(Tabela14[[#This Row],[Treinada?]]="sim",VLOOKUP(Ligma!$G$2,'uns dados aí'!$E$2:$F$4,2,TRUE),"")</f>
        <v/>
      </c>
      <c r="G20" s="29"/>
      <c r="H20" s="29"/>
      <c r="I20" s="29"/>
      <c r="J20" s="29">
        <f>SUM(Tabela14[[#This Row],[MOD]:[Bônus Habilidade]])-IF(Tabela14[[#This Row],[Penalidade de Armadura?]]="sim",Poderes!C16,0)</f>
        <v>3</v>
      </c>
      <c r="K20" s="29" t="s">
        <v>105</v>
      </c>
      <c r="L20" s="29" t="s">
        <v>107</v>
      </c>
      <c r="M20" s="40" t="s">
        <v>107</v>
      </c>
    </row>
    <row r="21" ht="14.25" spans="2:13">
      <c r="B21" s="26" t="s">
        <v>68</v>
      </c>
      <c r="C21" s="27" t="s">
        <v>111</v>
      </c>
      <c r="D21" s="27">
        <f>VLOOKUP(C21,Ligma!$B$3:$D$8,3,FALSE)</f>
        <v>3</v>
      </c>
      <c r="E21" s="27">
        <f>VLOOKUP(Ligma!$G$2,'uns dados aí'!$I$3:$J$22,2,FALSE)</f>
        <v>0</v>
      </c>
      <c r="F21" s="27">
        <f>IF(Tabela14[[#This Row],[Treinada?]]="sim",VLOOKUP(Ligma!$G$2,'uns dados aí'!$E$2:$F$4,2,TRUE),"")</f>
        <v>2</v>
      </c>
      <c r="G21" s="27"/>
      <c r="H21" s="27"/>
      <c r="I21" s="27"/>
      <c r="J21" s="27">
        <f>SUM(Tabela14[[#This Row],[MOD]:[Bônus Habilidade]])-IF(Tabela14[[#This Row],[Penalidade de Armadura?]]="sim",Poderes!C17,0)</f>
        <v>5</v>
      </c>
      <c r="K21" s="27" t="s">
        <v>107</v>
      </c>
      <c r="L21" s="27" t="s">
        <v>106</v>
      </c>
      <c r="M21" s="37" t="s">
        <v>106</v>
      </c>
    </row>
    <row r="22" ht="15" spans="2:13">
      <c r="B22" s="28" t="s">
        <v>131</v>
      </c>
      <c r="C22" s="29" t="s">
        <v>116</v>
      </c>
      <c r="D22" s="29">
        <f>VLOOKUP(C22,Ligma!$B$3:$D$8,3,FALSE)</f>
        <v>5</v>
      </c>
      <c r="E22" s="29">
        <f>VLOOKUP(Ligma!$G$2,'uns dados aí'!$I$3:$J$22,2,FALSE)</f>
        <v>0</v>
      </c>
      <c r="F22" s="29">
        <f>IF(Tabela14[[#This Row],[Treinada?]]="sim",VLOOKUP(Ligma!$G$2,'uns dados aí'!$E$2:$F$4,2,TRUE),"")</f>
        <v>2</v>
      </c>
      <c r="G22" s="29">
        <v>2</v>
      </c>
      <c r="H22" s="29"/>
      <c r="I22" s="29"/>
      <c r="J22" s="29">
        <f>SUM(Tabela14[[#This Row],[MOD]:[Bônus Habilidade]])-IF(Tabela14[[#This Row],[Penalidade de Armadura?]]="sim",Poderes!C18,0)</f>
        <v>9</v>
      </c>
      <c r="K22" s="29" t="s">
        <v>107</v>
      </c>
      <c r="L22" s="29" t="s">
        <v>107</v>
      </c>
      <c r="M22" s="40" t="s">
        <v>106</v>
      </c>
    </row>
    <row r="23" ht="14.25" spans="2:13">
      <c r="B23" s="26" t="s">
        <v>132</v>
      </c>
      <c r="C23" s="27" t="s">
        <v>116</v>
      </c>
      <c r="D23" s="27">
        <f>VLOOKUP(C23,Ligma!$B$3:$D$8,3,FALSE)</f>
        <v>5</v>
      </c>
      <c r="E23" s="27">
        <f>VLOOKUP(Ligma!$G$2,'uns dados aí'!$I$3:$J$22,2,FALSE)</f>
        <v>0</v>
      </c>
      <c r="F23" s="27" t="str">
        <f>IF(Tabela14[[#This Row],[Treinada?]]="sim",VLOOKUP(Ligma!$G$2,'uns dados aí'!$E$2:$F$4,2,TRUE),"")</f>
        <v/>
      </c>
      <c r="G23" s="27"/>
      <c r="H23" s="27"/>
      <c r="I23" s="27"/>
      <c r="J23" s="27">
        <f>SUM(Tabela14[[#This Row],[MOD]:[Bônus Habilidade]])-IF(Tabela14[[#This Row],[Penalidade de Armadura?]]="sim",Poderes!C19,0)</f>
        <v>5</v>
      </c>
      <c r="K23" s="27" t="s">
        <v>105</v>
      </c>
      <c r="L23" s="27" t="s">
        <v>107</v>
      </c>
      <c r="M23" s="37" t="s">
        <v>106</v>
      </c>
    </row>
    <row r="24" ht="15" spans="2:13">
      <c r="B24" s="28" t="s">
        <v>133</v>
      </c>
      <c r="C24" s="29" t="s">
        <v>116</v>
      </c>
      <c r="D24" s="29">
        <f>VLOOKUP(C24,Ligma!$B$3:$D$8,3,FALSE)</f>
        <v>5</v>
      </c>
      <c r="E24" s="29">
        <f>VLOOKUP(Ligma!$G$2,'uns dados aí'!$I$3:$J$22,2,FALSE)</f>
        <v>0</v>
      </c>
      <c r="F24" s="29">
        <f>IF(Tabela14[[#This Row],[Treinada?]]="sim",VLOOKUP(Ligma!$G$2,'uns dados aí'!$E$2:$F$4,2,TRUE),"")</f>
        <v>2</v>
      </c>
      <c r="G24" s="29"/>
      <c r="H24" s="29"/>
      <c r="I24" s="29"/>
      <c r="J24" s="29">
        <f>SUM(Tabela14[[#This Row],[MOD]:[Bônus Habilidade]])-IF(Tabela14[[#This Row],[Penalidade de Armadura?]]="sim",Poderes!C20,0)</f>
        <v>7</v>
      </c>
      <c r="K24" s="29" t="s">
        <v>107</v>
      </c>
      <c r="L24" s="29" t="s">
        <v>107</v>
      </c>
      <c r="M24" s="40" t="s">
        <v>106</v>
      </c>
    </row>
    <row r="25" ht="14.25" spans="2:13">
      <c r="B25" s="26" t="s">
        <v>134</v>
      </c>
      <c r="C25" s="27" t="s">
        <v>116</v>
      </c>
      <c r="D25" s="27">
        <f>VLOOKUP(C25,Ligma!$B$3:$D$8,3,FALSE)</f>
        <v>5</v>
      </c>
      <c r="E25" s="27">
        <f>VLOOKUP(Ligma!$G$2,'uns dados aí'!$I$3:$J$22,2,FALSE)</f>
        <v>0</v>
      </c>
      <c r="F25" s="27">
        <f>IF(Tabela14[[#This Row],[Treinada?]]="sim",VLOOKUP(Ligma!$G$2,'uns dados aí'!$E$2:$F$4,2,TRUE),"")</f>
        <v>2</v>
      </c>
      <c r="G25" s="27"/>
      <c r="H25" s="27"/>
      <c r="I25" s="27"/>
      <c r="J25" s="27">
        <f>SUM(Tabela14[[#This Row],[MOD]:[Bônus Habilidade]])-IF(Tabela14[[#This Row],[Penalidade de Armadura?]]="sim",Poderes!C21,0)</f>
        <v>7</v>
      </c>
      <c r="K25" s="27" t="s">
        <v>107</v>
      </c>
      <c r="L25" s="27" t="s">
        <v>107</v>
      </c>
      <c r="M25" s="37" t="s">
        <v>106</v>
      </c>
    </row>
    <row r="26" ht="15" spans="2:13">
      <c r="B26" s="30" t="s">
        <v>135</v>
      </c>
      <c r="C26" s="29" t="s">
        <v>116</v>
      </c>
      <c r="D26" s="29">
        <f>VLOOKUP(C26,Ligma!$B$3:$D$8,3,FALSE)</f>
        <v>5</v>
      </c>
      <c r="E26" s="29">
        <f>VLOOKUP(Ligma!$G$2,'uns dados aí'!$I$3:$J$22,2,FALSE)</f>
        <v>0</v>
      </c>
      <c r="F26" s="29">
        <f>IF(Tabela14[[#This Row],[Treinada?]]="sim",VLOOKUP(Ligma!$G$2,'uns dados aí'!$E$2:$F$4,2,TRUE),"")</f>
        <v>2</v>
      </c>
      <c r="G26" s="29"/>
      <c r="H26" s="29"/>
      <c r="I26" s="29"/>
      <c r="J26" s="29">
        <f>SUM(Tabela14[[#This Row],[MOD]:[Bônus Habilidade]])-IF(Tabela14[[#This Row],[Penalidade de Armadura?]]="sim",Poderes!C22,0)</f>
        <v>7</v>
      </c>
      <c r="K26" s="29" t="s">
        <v>107</v>
      </c>
      <c r="L26" s="29" t="s">
        <v>107</v>
      </c>
      <c r="M26" s="40" t="s">
        <v>106</v>
      </c>
    </row>
    <row r="27" ht="14.25" spans="2:13">
      <c r="B27" s="26" t="s">
        <v>136</v>
      </c>
      <c r="C27" s="27" t="s">
        <v>118</v>
      </c>
      <c r="D27" s="27">
        <f>VLOOKUP(C27,Ligma!$B$3:$D$8,3,FALSE)</f>
        <v>3</v>
      </c>
      <c r="E27" s="27">
        <f>VLOOKUP(Ligma!$G$2,'uns dados aí'!$I$3:$J$22,2,FALSE)</f>
        <v>0</v>
      </c>
      <c r="F27" s="27">
        <f>IF(Tabela14[[#This Row],[Treinada?]]="sim",VLOOKUP(Ligma!$G$2,'uns dados aí'!$E$2:$F$4,2,TRUE),"")</f>
        <v>2</v>
      </c>
      <c r="G27" s="27">
        <v>2</v>
      </c>
      <c r="H27" s="27"/>
      <c r="I27" s="27"/>
      <c r="J27" s="27">
        <f>SUM(Tabela14[[#This Row],[MOD]:[Bônus Habilidade]])-IF(Tabela14[[#This Row],[Penalidade de Armadura?]]="sim",Ligma!D40,0)</f>
        <v>7</v>
      </c>
      <c r="K27" s="27" t="s">
        <v>107</v>
      </c>
      <c r="L27" s="27" t="s">
        <v>106</v>
      </c>
      <c r="M27" s="37" t="s">
        <v>106</v>
      </c>
    </row>
    <row r="28" ht="15" spans="2:13">
      <c r="B28" s="28" t="s">
        <v>137</v>
      </c>
      <c r="C28" s="29" t="s">
        <v>104</v>
      </c>
      <c r="D28" s="29">
        <f>VLOOKUP(C28,Ligma!$B$3:$D$8,3,FALSE)</f>
        <v>3</v>
      </c>
      <c r="E28" s="29">
        <f>VLOOKUP(Ligma!$G$2,'uns dados aí'!$I$3:$J$22,2,FALSE)</f>
        <v>0</v>
      </c>
      <c r="F28" s="29" t="str">
        <f>IF(Tabela14[[#This Row],[Treinada?]]="sim",VLOOKUP(Ligma!$G$2,'uns dados aí'!$E$2:$F$4,2,TRUE),"")</f>
        <v/>
      </c>
      <c r="G28" s="29"/>
      <c r="H28" s="29"/>
      <c r="I28" s="29"/>
      <c r="J28" s="29">
        <f>SUM(Tabela14[[#This Row],[MOD]:[Bônus Habilidade]])-IF(Tabela14[[#This Row],[Penalidade de Armadura?]]="sim",Poderes!K1,0)</f>
        <v>3</v>
      </c>
      <c r="K28" s="29" t="s">
        <v>105</v>
      </c>
      <c r="L28" s="29" t="s">
        <v>107</v>
      </c>
      <c r="M28" s="40" t="s">
        <v>106</v>
      </c>
    </row>
    <row r="29" ht="14.25" spans="2:13">
      <c r="B29" s="26" t="s">
        <v>138</v>
      </c>
      <c r="C29" s="27" t="s">
        <v>104</v>
      </c>
      <c r="D29" s="27">
        <f>VLOOKUP(C29,Ligma!$B$3:$D$8,3,FALSE)</f>
        <v>3</v>
      </c>
      <c r="E29" s="27">
        <f>VLOOKUP(Ligma!$G$2,'uns dados aí'!$I$3:$J$22,2,FALSE)</f>
        <v>0</v>
      </c>
      <c r="F29" s="27" t="str">
        <f>IF(Tabela14[[#This Row],[Treinada?]]="sim",VLOOKUP(Ligma!$G$2,'uns dados aí'!$E$2:$F$4,2,TRUE),"")</f>
        <v/>
      </c>
      <c r="G29" s="27"/>
      <c r="H29" s="27"/>
      <c r="I29" s="27"/>
      <c r="J29" s="27">
        <f>SUM(Tabela14[[#This Row],[MOD]:[Bônus Habilidade]])-IF(Tabela14[[#This Row],[Penalidade de Armadura?]]="sim",Poderes!K2,0)</f>
        <v>3</v>
      </c>
      <c r="K29" s="27" t="s">
        <v>105</v>
      </c>
      <c r="L29" s="27" t="s">
        <v>106</v>
      </c>
      <c r="M29" s="37" t="s">
        <v>106</v>
      </c>
    </row>
    <row r="30" ht="15" spans="2:13">
      <c r="B30" s="28" t="s">
        <v>139</v>
      </c>
      <c r="C30" s="29" t="s">
        <v>104</v>
      </c>
      <c r="D30" s="29">
        <f>VLOOKUP(C30,Ligma!$B$3:$D$8,3,FALSE)</f>
        <v>3</v>
      </c>
      <c r="E30" s="29">
        <f>VLOOKUP(Ligma!$G$2,'uns dados aí'!$I$3:$J$22,2,FALSE)</f>
        <v>0</v>
      </c>
      <c r="F30" s="29">
        <f>IF(Tabela14[[#This Row],[Treinada?]]="sim",VLOOKUP(Ligma!$G$2,'uns dados aí'!$E$2:$F$4,2,TRUE),"")</f>
        <v>2</v>
      </c>
      <c r="G30" s="29"/>
      <c r="H30" s="29"/>
      <c r="I30" s="29"/>
      <c r="J30" s="29">
        <f>SUM(Tabela14[[#This Row],[MOD]:[Bônus Habilidade]])-IF(Tabela14[[#This Row],[Penalidade de Armadura?]]="sim",Poderes!#REF!,0)</f>
        <v>5</v>
      </c>
      <c r="K30" s="29" t="s">
        <v>107</v>
      </c>
      <c r="L30" s="29" t="s">
        <v>106</v>
      </c>
      <c r="M30" s="40" t="s">
        <v>106</v>
      </c>
    </row>
    <row r="31" ht="14.25" spans="2:13">
      <c r="B31" s="26" t="s">
        <v>140</v>
      </c>
      <c r="C31" s="27" t="s">
        <v>118</v>
      </c>
      <c r="D31" s="27">
        <f>VLOOKUP(C31,Ligma!$B$3:$D$8,3,FALSE)</f>
        <v>3</v>
      </c>
      <c r="E31" s="27">
        <f>VLOOKUP(Ligma!$G$2,'uns dados aí'!$I$3:$J$22,2,FALSE)</f>
        <v>0</v>
      </c>
      <c r="F31" s="27">
        <f>IF(Tabela14[[#This Row],[Treinada?]]="sim",VLOOKUP(Ligma!$G$2,'uns dados aí'!$E$2:$F$4,2,TRUE),"")</f>
        <v>2</v>
      </c>
      <c r="G31" s="27"/>
      <c r="H31" s="27"/>
      <c r="I31" s="27"/>
      <c r="J31" s="27">
        <f>SUM(Tabela14[[#This Row],[MOD]:[Bônus Habilidade]])-IF(Tabela14[[#This Row],[Penalidade de Armadura?]]="sim",Poderes!#REF!,0)</f>
        <v>5</v>
      </c>
      <c r="K31" s="27" t="s">
        <v>107</v>
      </c>
      <c r="L31" s="27" t="s">
        <v>107</v>
      </c>
      <c r="M31" s="37" t="s">
        <v>106</v>
      </c>
    </row>
    <row r="32" ht="15" spans="2:13">
      <c r="B32" s="28" t="s">
        <v>141</v>
      </c>
      <c r="C32" s="29" t="s">
        <v>118</v>
      </c>
      <c r="D32" s="29">
        <f>VLOOKUP(C32,Ligma!$B$3:$D$8,3,FALSE)</f>
        <v>3</v>
      </c>
      <c r="E32" s="29">
        <f>VLOOKUP(Ligma!$G$2,'uns dados aí'!$I$3:$J$22,2,FALSE)</f>
        <v>0</v>
      </c>
      <c r="F32" s="29" t="str">
        <f>IF(Tabela14[[#This Row],[Treinada?]]="sim",VLOOKUP(Ligma!$G$2,'uns dados aí'!$E$2:$F$4,2,TRUE),"")</f>
        <v/>
      </c>
      <c r="G32" s="29"/>
      <c r="H32" s="29"/>
      <c r="I32" s="29"/>
      <c r="J32" s="29">
        <f>SUM(Tabela14[[#This Row],[MOD]:[Bônus Habilidade]])-IF(Tabela14[[#This Row],[Penalidade de Armadura?]]="sim",Poderes!#REF!,0)</f>
        <v>3</v>
      </c>
      <c r="K32" s="29" t="s">
        <v>105</v>
      </c>
      <c r="L32" s="29" t="s">
        <v>106</v>
      </c>
      <c r="M32" s="40" t="s">
        <v>106</v>
      </c>
    </row>
    <row r="33" ht="14.25" spans="2:13">
      <c r="B33" s="31" t="s">
        <v>142</v>
      </c>
      <c r="C33" s="32" t="s">
        <v>118</v>
      </c>
      <c r="D33" s="32">
        <f>VLOOKUP(C33,Ligma!$B$3:$D$8,3,FALSE)</f>
        <v>3</v>
      </c>
      <c r="E33" s="32">
        <f>VLOOKUP(Ligma!$G$2,'uns dados aí'!$I$3:$J$22,2,FALSE)</f>
        <v>0</v>
      </c>
      <c r="F33" s="32">
        <f>IF(Tabela14[[#This Row],[Treinada?]]="sim",VLOOKUP(Ligma!$G$2,'uns dados aí'!$E$2:$F$4,2,TRUE),"")</f>
        <v>2</v>
      </c>
      <c r="G33" s="32"/>
      <c r="H33" s="32"/>
      <c r="I33" s="32"/>
      <c r="J33" s="32">
        <f>SUM(Tabela14[[#This Row],[MOD]:[Bônus Habilidade]])-IF(Tabela14[[#This Row],[Penalidade de Armadura?]]="sim",Poderes!#REF!,0)</f>
        <v>5</v>
      </c>
      <c r="K33" s="32" t="s">
        <v>107</v>
      </c>
      <c r="L33" s="32" t="s">
        <v>106</v>
      </c>
      <c r="M33" s="47" t="s">
        <v>106</v>
      </c>
    </row>
  </sheetData>
  <mergeCells count="2">
    <mergeCell ref="O2:P2"/>
    <mergeCell ref="O7:P7"/>
  </mergeCells>
  <pageMargins left="0.511811024" right="0.511811024" top="0.787401575" bottom="0.787401575" header="0.31496062" footer="0.31496062"/>
  <pageSetup paperSize="9" orientation="portrait"/>
  <headerFooter/>
  <tableParts count="1">
    <tablePart r:id="rId1"/>
  </tableParts>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1:M23"/>
  <sheetViews>
    <sheetView workbookViewId="0">
      <selection activeCell="H32" sqref="H32"/>
    </sheetView>
  </sheetViews>
  <sheetFormatPr defaultColWidth="9" defaultRowHeight="13.5"/>
  <cols>
    <col min="2" max="3" width="10.2833333333333" customWidth="1"/>
    <col min="4" max="4" width="12.2833333333333" customWidth="1"/>
    <col min="8" max="8" width="20.2833333333333" customWidth="1"/>
    <col min="9" max="9" width="19.8583333333333" customWidth="1"/>
    <col min="10" max="10" width="17" customWidth="1"/>
  </cols>
  <sheetData>
    <row r="1" ht="14.25"/>
    <row r="2" ht="15.75" spans="2:13">
      <c r="B2" s="1" t="s">
        <v>143</v>
      </c>
      <c r="C2" s="2"/>
      <c r="E2" s="1">
        <v>1</v>
      </c>
      <c r="F2" s="2">
        <v>2</v>
      </c>
      <c r="H2" s="15" t="s">
        <v>144</v>
      </c>
      <c r="I2" s="21" t="s">
        <v>145</v>
      </c>
      <c r="J2" s="2" t="s">
        <v>146</v>
      </c>
      <c r="L2" s="1" t="s">
        <v>147</v>
      </c>
      <c r="M2" s="2">
        <f>12+Ligma!D5</f>
        <v>13</v>
      </c>
    </row>
    <row r="3" ht="14.25" spans="2:13">
      <c r="B3" s="3" t="s">
        <v>4</v>
      </c>
      <c r="C3" s="4">
        <v>16</v>
      </c>
      <c r="E3" s="3">
        <v>7</v>
      </c>
      <c r="F3" s="4">
        <v>4</v>
      </c>
      <c r="H3" s="3">
        <v>0</v>
      </c>
      <c r="I3" s="12">
        <v>1</v>
      </c>
      <c r="J3" s="4">
        <f>ROUNDDOWN(I3/2,0)</f>
        <v>0</v>
      </c>
      <c r="L3" s="3" t="s">
        <v>148</v>
      </c>
      <c r="M3" s="4">
        <v>4</v>
      </c>
    </row>
    <row r="4" ht="15.75" spans="2:13">
      <c r="B4" s="5" t="s">
        <v>9</v>
      </c>
      <c r="C4" s="6">
        <v>15</v>
      </c>
      <c r="E4" s="7">
        <v>15</v>
      </c>
      <c r="F4" s="8">
        <v>6</v>
      </c>
      <c r="H4" s="16">
        <v>1000</v>
      </c>
      <c r="I4" s="22">
        <v>2</v>
      </c>
      <c r="J4" s="6">
        <f t="shared" ref="J4:J22" si="0">ROUNDDOWN(I4/2,0)</f>
        <v>1</v>
      </c>
      <c r="L4" s="7" t="s">
        <v>149</v>
      </c>
      <c r="M4" s="8">
        <v>1</v>
      </c>
    </row>
    <row r="5" ht="15" spans="2:10">
      <c r="B5" s="3" t="s">
        <v>10</v>
      </c>
      <c r="C5" s="4">
        <v>15</v>
      </c>
      <c r="H5" s="17">
        <v>3000</v>
      </c>
      <c r="I5" s="12">
        <v>3</v>
      </c>
      <c r="J5" s="4">
        <f t="shared" si="0"/>
        <v>1</v>
      </c>
    </row>
    <row r="6" ht="15" spans="2:10">
      <c r="B6" s="5" t="s">
        <v>12</v>
      </c>
      <c r="C6" s="6">
        <v>16</v>
      </c>
      <c r="H6" s="16">
        <v>6000</v>
      </c>
      <c r="I6" s="22">
        <v>4</v>
      </c>
      <c r="J6" s="6">
        <f t="shared" si="0"/>
        <v>2</v>
      </c>
    </row>
    <row r="7" ht="14.25" spans="2:10">
      <c r="B7" s="3" t="s">
        <v>14</v>
      </c>
      <c r="C7" s="4">
        <v>16</v>
      </c>
      <c r="H7" s="17">
        <v>10000</v>
      </c>
      <c r="I7" s="12">
        <v>5</v>
      </c>
      <c r="J7" s="4">
        <f t="shared" si="0"/>
        <v>2</v>
      </c>
    </row>
    <row r="8" ht="15.75" spans="2:10">
      <c r="B8" s="7" t="s">
        <v>16</v>
      </c>
      <c r="C8" s="8">
        <v>14</v>
      </c>
      <c r="H8" s="16">
        <v>15000</v>
      </c>
      <c r="I8" s="22">
        <v>6</v>
      </c>
      <c r="J8" s="6">
        <f t="shared" si="0"/>
        <v>3</v>
      </c>
    </row>
    <row r="9" ht="15" spans="8:10">
      <c r="H9" s="17">
        <v>21000</v>
      </c>
      <c r="I9" s="12">
        <v>7</v>
      </c>
      <c r="J9" s="4">
        <f t="shared" si="0"/>
        <v>3</v>
      </c>
    </row>
    <row r="10" ht="15" spans="8:10">
      <c r="H10" s="16">
        <v>28000</v>
      </c>
      <c r="I10" s="22">
        <v>8</v>
      </c>
      <c r="J10" s="6">
        <f t="shared" si="0"/>
        <v>4</v>
      </c>
    </row>
    <row r="11" ht="15" spans="8:10">
      <c r="H11" s="17">
        <v>36000</v>
      </c>
      <c r="I11" s="12">
        <v>9</v>
      </c>
      <c r="J11" s="4">
        <f t="shared" si="0"/>
        <v>4</v>
      </c>
    </row>
    <row r="12" ht="15.75" spans="2:10">
      <c r="B12" s="1" t="s">
        <v>150</v>
      </c>
      <c r="C12" s="2">
        <f>3+Ligma!D5</f>
        <v>4</v>
      </c>
      <c r="H12" s="16">
        <v>45000</v>
      </c>
      <c r="I12" s="22">
        <v>10</v>
      </c>
      <c r="J12" s="6">
        <f t="shared" si="0"/>
        <v>5</v>
      </c>
    </row>
    <row r="13" ht="14.25" spans="2:10">
      <c r="B13" s="3" t="s">
        <v>151</v>
      </c>
      <c r="C13" s="4">
        <f>SUM(M3:M4)</f>
        <v>5</v>
      </c>
      <c r="H13" s="17">
        <v>55000</v>
      </c>
      <c r="I13" s="12">
        <v>11</v>
      </c>
      <c r="J13" s="4">
        <f t="shared" si="0"/>
        <v>5</v>
      </c>
    </row>
    <row r="14" ht="15.75" spans="2:10">
      <c r="B14" s="7"/>
      <c r="C14" s="8"/>
      <c r="H14" s="16">
        <v>66000</v>
      </c>
      <c r="I14" s="22">
        <v>12</v>
      </c>
      <c r="J14" s="6">
        <f t="shared" si="0"/>
        <v>6</v>
      </c>
    </row>
    <row r="15" ht="15.75" spans="8:10">
      <c r="H15" s="17">
        <v>78000</v>
      </c>
      <c r="I15" s="12">
        <v>13</v>
      </c>
      <c r="J15" s="4">
        <f t="shared" si="0"/>
        <v>6</v>
      </c>
    </row>
    <row r="16" ht="15.75" spans="2:10">
      <c r="B16" s="9" t="s">
        <v>95</v>
      </c>
      <c r="C16" s="10" t="s">
        <v>152</v>
      </c>
      <c r="D16" s="10" t="s">
        <v>153</v>
      </c>
      <c r="E16" s="18" t="s">
        <v>67</v>
      </c>
      <c r="H16" s="16">
        <v>91000</v>
      </c>
      <c r="I16" s="22">
        <v>14</v>
      </c>
      <c r="J16" s="6">
        <f t="shared" si="0"/>
        <v>7</v>
      </c>
    </row>
    <row r="17" ht="15" spans="2:10">
      <c r="B17" s="5" t="s">
        <v>4</v>
      </c>
      <c r="C17" s="11">
        <v>0</v>
      </c>
      <c r="D17" s="11"/>
      <c r="E17" s="6">
        <f>SUM(C17:D17)</f>
        <v>0</v>
      </c>
      <c r="H17" s="17">
        <v>105000</v>
      </c>
      <c r="I17" s="12">
        <v>15</v>
      </c>
      <c r="J17" s="4">
        <f t="shared" si="0"/>
        <v>7</v>
      </c>
    </row>
    <row r="18" ht="15" spans="2:10">
      <c r="B18" s="3" t="s">
        <v>9</v>
      </c>
      <c r="C18" s="12">
        <v>2</v>
      </c>
      <c r="D18" s="12"/>
      <c r="E18" s="4">
        <f t="shared" ref="E18:E22" si="1">SUM(C18:D18)</f>
        <v>2</v>
      </c>
      <c r="H18" s="16">
        <v>120000</v>
      </c>
      <c r="I18" s="22">
        <v>16</v>
      </c>
      <c r="J18" s="6">
        <f t="shared" si="0"/>
        <v>8</v>
      </c>
    </row>
    <row r="19" ht="15" spans="2:10">
      <c r="B19" s="5" t="s">
        <v>10</v>
      </c>
      <c r="C19" s="11">
        <v>-2</v>
      </c>
      <c r="D19" s="11"/>
      <c r="E19" s="6">
        <f t="shared" si="1"/>
        <v>-2</v>
      </c>
      <c r="H19" s="17">
        <v>136000</v>
      </c>
      <c r="I19" s="12">
        <v>17</v>
      </c>
      <c r="J19" s="4">
        <f t="shared" si="0"/>
        <v>8</v>
      </c>
    </row>
    <row r="20" ht="15" spans="2:10">
      <c r="B20" s="3" t="s">
        <v>12</v>
      </c>
      <c r="C20" s="12">
        <v>4</v>
      </c>
      <c r="D20" s="12"/>
      <c r="E20" s="4">
        <f t="shared" si="1"/>
        <v>4</v>
      </c>
      <c r="H20" s="16">
        <v>153000</v>
      </c>
      <c r="I20" s="22">
        <v>18</v>
      </c>
      <c r="J20" s="6">
        <f t="shared" si="0"/>
        <v>9</v>
      </c>
    </row>
    <row r="21" ht="15" spans="2:10">
      <c r="B21" s="5" t="s">
        <v>14</v>
      </c>
      <c r="C21" s="11">
        <v>0</v>
      </c>
      <c r="D21" s="11"/>
      <c r="E21" s="6">
        <f t="shared" si="1"/>
        <v>0</v>
      </c>
      <c r="H21" s="17">
        <v>171000</v>
      </c>
      <c r="I21" s="12">
        <v>19</v>
      </c>
      <c r="J21" s="4">
        <f t="shared" si="0"/>
        <v>9</v>
      </c>
    </row>
    <row r="22" ht="15.75" spans="2:10">
      <c r="B22" s="13" t="s">
        <v>16</v>
      </c>
      <c r="C22" s="14">
        <v>0</v>
      </c>
      <c r="D22" s="14"/>
      <c r="E22" s="19">
        <f t="shared" si="1"/>
        <v>0</v>
      </c>
      <c r="H22" s="20">
        <v>190000</v>
      </c>
      <c r="I22" s="23">
        <v>20</v>
      </c>
      <c r="J22" s="8">
        <f t="shared" si="0"/>
        <v>10</v>
      </c>
    </row>
    <row r="23" ht="14.25"/>
  </sheetData>
  <mergeCells count="1">
    <mergeCell ref="B2:C2"/>
  </mergeCells>
  <pageMargins left="0.511811024" right="0.511811024" top="0.787401575" bottom="0.787401575" header="0.31496062" footer="0.31496062"/>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8</vt:i4>
      </vt:variant>
    </vt:vector>
  </HeadingPairs>
  <TitlesOfParts>
    <vt:vector size="8" baseType="lpstr">
      <vt:lpstr>Ligma</vt:lpstr>
      <vt:lpstr>Poderes</vt:lpstr>
      <vt:lpstr>Testes</vt:lpstr>
      <vt:lpstr>Livro de Fórmulas</vt:lpstr>
      <vt:lpstr>Inventário</vt:lpstr>
      <vt:lpstr>Perícias</vt:lpstr>
      <vt:lpstr>Perícias (Cópia)</vt:lpstr>
      <vt:lpstr>uns dados aí</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Luciano Segundo</dc:creator>
  <cp:lastModifiedBy>dopanime</cp:lastModifiedBy>
  <dcterms:created xsi:type="dcterms:W3CDTF">2024-07-27T11:21:00Z</dcterms:created>
  <dcterms:modified xsi:type="dcterms:W3CDTF">2025-08-28T03:12:45Z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
  </property>
  <property fmtid="{D5CDD505-2E9C-101B-9397-08002B2CF9AE}" pid="3" name="KSOProductBuildVer">
    <vt:lpwstr>1046-11.1.0.11723</vt:lpwstr>
  </property>
</Properties>
</file>