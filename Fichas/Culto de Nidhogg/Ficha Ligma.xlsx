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Ashzi\Documents\GitHub\RPG\Fichas\Culto de Nidhogg\"/>
    </mc:Choice>
  </mc:AlternateContent>
  <xr:revisionPtr revIDLastSave="0" documentId="13_ncr:1_{A93F99E0-F47B-476B-8EF7-CDEED4844877}" xr6:coauthVersionLast="47" xr6:coauthVersionMax="47" xr10:uidLastSave="{00000000-0000-0000-0000-000000000000}"/>
  <bookViews>
    <workbookView xWindow="-120" yWindow="-120" windowWidth="29040" windowHeight="16440" xr2:uid="{00000000-000D-0000-FFFF-FFFF00000000}"/>
  </bookViews>
  <sheets>
    <sheet name="Ligm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K22" i="4"/>
  <c r="E22" i="4"/>
  <c r="K21" i="4"/>
  <c r="E21" i="4"/>
  <c r="P12" i="8" s="1"/>
  <c r="K20" i="4"/>
  <c r="E20" i="4"/>
  <c r="P11" i="8" s="1"/>
  <c r="K19" i="4"/>
  <c r="E19" i="4"/>
  <c r="K18" i="4"/>
  <c r="E18" i="4"/>
  <c r="K17" i="4"/>
  <c r="E17" i="4"/>
  <c r="K16" i="4"/>
  <c r="K15" i="4"/>
  <c r="K14" i="4"/>
  <c r="K13" i="4"/>
  <c r="C13" i="4"/>
  <c r="K12" i="4"/>
  <c r="K11" i="4"/>
  <c r="K10" i="4"/>
  <c r="K9" i="4"/>
  <c r="K8" i="4"/>
  <c r="K7" i="4"/>
  <c r="K6" i="4"/>
  <c r="K5" i="4"/>
  <c r="K4" i="4"/>
  <c r="K3" i="4"/>
  <c r="F32" i="8"/>
  <c r="E30" i="8"/>
  <c r="F29" i="8"/>
  <c r="F28" i="8"/>
  <c r="E27" i="8"/>
  <c r="E24" i="8"/>
  <c r="F23" i="8"/>
  <c r="E21" i="8"/>
  <c r="F20" i="8"/>
  <c r="F19" i="8"/>
  <c r="E18" i="8"/>
  <c r="F17" i="8"/>
  <c r="F16" i="8"/>
  <c r="F15" i="8"/>
  <c r="E15" i="8"/>
  <c r="F14" i="8"/>
  <c r="P13" i="8"/>
  <c r="F13" i="8"/>
  <c r="F12" i="8"/>
  <c r="F11" i="8"/>
  <c r="P10" i="8"/>
  <c r="F10" i="8"/>
  <c r="E10" i="8"/>
  <c r="P9" i="8"/>
  <c r="P8" i="8"/>
  <c r="F7" i="8"/>
  <c r="F6" i="8"/>
  <c r="F5" i="8"/>
  <c r="F4" i="8"/>
  <c r="F3" i="8"/>
  <c r="P13" i="3"/>
  <c r="P12" i="3"/>
  <c r="E12" i="3"/>
  <c r="P11" i="3"/>
  <c r="P10" i="3"/>
  <c r="C5" i="1" s="1"/>
  <c r="D5" i="1" s="1"/>
  <c r="N2" i="4" s="1"/>
  <c r="P9" i="3"/>
  <c r="C4" i="1" s="1"/>
  <c r="D4" i="1" s="1"/>
  <c r="E9" i="3"/>
  <c r="P8" i="3"/>
  <c r="E7" i="3"/>
  <c r="E4" i="3"/>
  <c r="I21" i="2"/>
  <c r="G21" i="2"/>
  <c r="I20" i="2"/>
  <c r="G20" i="2"/>
  <c r="I19" i="2"/>
  <c r="G19" i="2"/>
  <c r="C23" i="2" s="1"/>
  <c r="I18" i="2"/>
  <c r="G18" i="2"/>
  <c r="I17" i="2"/>
  <c r="G17" i="2"/>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D31" i="5"/>
  <c r="B31" i="5"/>
  <c r="D30" i="5"/>
  <c r="B30" i="5"/>
  <c r="D29" i="5"/>
  <c r="B29" i="5"/>
  <c r="D28" i="5"/>
  <c r="B28" i="5"/>
  <c r="D27" i="5"/>
  <c r="B27" i="5"/>
  <c r="D26" i="5"/>
  <c r="B26" i="5"/>
  <c r="D25" i="5"/>
  <c r="B25" i="5"/>
  <c r="D24" i="5"/>
  <c r="B24" i="5"/>
  <c r="D23" i="5"/>
  <c r="B23" i="5"/>
  <c r="D22" i="5"/>
  <c r="B22" i="5"/>
  <c r="D21" i="5"/>
  <c r="B21" i="5"/>
  <c r="D20" i="5"/>
  <c r="B20" i="5"/>
  <c r="D19" i="5"/>
  <c r="B19" i="5"/>
  <c r="D18" i="5"/>
  <c r="B18" i="5"/>
  <c r="D17" i="5"/>
  <c r="B17" i="5"/>
  <c r="D16" i="5"/>
  <c r="B16" i="5"/>
  <c r="D15" i="5"/>
  <c r="B15" i="5"/>
  <c r="D14" i="5"/>
  <c r="B14" i="5"/>
  <c r="D13" i="5"/>
  <c r="B13" i="5"/>
  <c r="D12" i="5"/>
  <c r="B12" i="5"/>
  <c r="D11" i="5"/>
  <c r="B11" i="5"/>
  <c r="D10" i="5"/>
  <c r="B10" i="5"/>
  <c r="D9" i="5"/>
  <c r="B9" i="5"/>
  <c r="D8" i="5"/>
  <c r="B8" i="5"/>
  <c r="D7" i="5"/>
  <c r="B7" i="5"/>
  <c r="D6" i="5"/>
  <c r="B6" i="5"/>
  <c r="D5" i="5"/>
  <c r="B5" i="5"/>
  <c r="D4" i="5"/>
  <c r="B4" i="5"/>
  <c r="D3" i="5"/>
  <c r="B3" i="5"/>
  <c r="I16" i="1"/>
  <c r="H16" i="1"/>
  <c r="G16" i="1"/>
  <c r="D16" i="1"/>
  <c r="C16" i="1"/>
  <c r="C8" i="1"/>
  <c r="D8" i="1" s="1"/>
  <c r="C7" i="1"/>
  <c r="D7" i="1" s="1"/>
  <c r="C6" i="1"/>
  <c r="D6" i="1" s="1"/>
  <c r="C3" i="1"/>
  <c r="C24" i="2" s="1"/>
  <c r="E9" i="8"/>
  <c r="D3" i="1" l="1"/>
  <c r="D5" i="3" s="1"/>
  <c r="D23" i="2"/>
  <c r="C25" i="2" s="1"/>
  <c r="D29" i="8"/>
  <c r="D20" i="8"/>
  <c r="D3" i="3"/>
  <c r="D3" i="8"/>
  <c r="D28" i="3"/>
  <c r="D13" i="3"/>
  <c r="D28" i="8"/>
  <c r="D13" i="8"/>
  <c r="D30" i="3"/>
  <c r="D15" i="3"/>
  <c r="D30" i="8"/>
  <c r="D15" i="8"/>
  <c r="J15" i="8" s="1"/>
  <c r="D7" i="3"/>
  <c r="J7" i="3" s="1"/>
  <c r="C7" i="5" s="1"/>
  <c r="E7" i="5" s="1"/>
  <c r="D7" i="8"/>
  <c r="D29" i="3"/>
  <c r="D20" i="3"/>
  <c r="G5" i="1"/>
  <c r="D32" i="8"/>
  <c r="D17" i="8"/>
  <c r="D9" i="8"/>
  <c r="D31" i="3"/>
  <c r="D31" i="8"/>
  <c r="D33" i="3"/>
  <c r="D27" i="3"/>
  <c r="D33" i="8"/>
  <c r="D27" i="8"/>
  <c r="D17" i="3"/>
  <c r="D32" i="3"/>
  <c r="D9" i="3"/>
  <c r="D6" i="3"/>
  <c r="D11" i="3"/>
  <c r="D6" i="8"/>
  <c r="D19" i="3"/>
  <c r="D16" i="3"/>
  <c r="D16" i="8"/>
  <c r="D11" i="8"/>
  <c r="D19" i="8"/>
  <c r="D10" i="3"/>
  <c r="D10" i="8"/>
  <c r="J10" i="8" s="1"/>
  <c r="D4" i="3"/>
  <c r="J4" i="3" s="1"/>
  <c r="C4" i="5" s="1"/>
  <c r="E4" i="5" s="1"/>
  <c r="D4" i="8"/>
  <c r="D26" i="8"/>
  <c r="D23" i="8"/>
  <c r="D14" i="8"/>
  <c r="D25" i="3"/>
  <c r="D22" i="3"/>
  <c r="D25" i="8"/>
  <c r="D22" i="8"/>
  <c r="D8" i="3"/>
  <c r="D8" i="8"/>
  <c r="D24" i="3"/>
  <c r="D18" i="3"/>
  <c r="D24" i="8"/>
  <c r="D18" i="8"/>
  <c r="D26" i="3"/>
  <c r="D14" i="3"/>
  <c r="D23" i="3"/>
  <c r="E3" i="3"/>
  <c r="E6" i="3"/>
  <c r="F9" i="8"/>
  <c r="E14" i="8"/>
  <c r="E17" i="8"/>
  <c r="E20" i="8"/>
  <c r="E23" i="8"/>
  <c r="E26" i="8"/>
  <c r="E29" i="8"/>
  <c r="E32" i="8"/>
  <c r="F26" i="8"/>
  <c r="D12" i="8"/>
  <c r="E14" i="3"/>
  <c r="E17" i="3"/>
  <c r="E20" i="3"/>
  <c r="E23" i="3"/>
  <c r="E26" i="3"/>
  <c r="E29" i="3"/>
  <c r="E32" i="3"/>
  <c r="E4" i="8"/>
  <c r="E7" i="8"/>
  <c r="E12" i="8"/>
  <c r="D12" i="3"/>
  <c r="J12" i="3" s="1"/>
  <c r="C12" i="5" s="1"/>
  <c r="E12" i="5" s="1"/>
  <c r="D21" i="8"/>
  <c r="E33" i="8"/>
  <c r="D21" i="3"/>
  <c r="D5" i="8"/>
  <c r="F18" i="8"/>
  <c r="F21" i="8"/>
  <c r="F24" i="8"/>
  <c r="F27" i="8"/>
  <c r="F30" i="8"/>
  <c r="F33" i="8"/>
  <c r="C12" i="4"/>
  <c r="H3" i="1" s="1"/>
  <c r="G3" i="1" s="1"/>
  <c r="E10" i="3"/>
  <c r="E15" i="3"/>
  <c r="E18" i="3"/>
  <c r="E21" i="3"/>
  <c r="E24" i="3"/>
  <c r="E27" i="3"/>
  <c r="E30" i="3"/>
  <c r="E33" i="3"/>
  <c r="E5" i="8"/>
  <c r="E8" i="8"/>
  <c r="E13" i="8"/>
  <c r="E5" i="3"/>
  <c r="J5" i="3" s="1"/>
  <c r="C5" i="5" s="1"/>
  <c r="E5" i="5" s="1"/>
  <c r="E8" i="3"/>
  <c r="E16" i="8"/>
  <c r="E19" i="8"/>
  <c r="E22" i="8"/>
  <c r="E25" i="8"/>
  <c r="E28" i="8"/>
  <c r="E31" i="8"/>
  <c r="F8" i="8"/>
  <c r="E13" i="3"/>
  <c r="E11" i="8"/>
  <c r="F22" i="8"/>
  <c r="F25" i="8"/>
  <c r="F31" i="8"/>
  <c r="E16" i="3"/>
  <c r="E19" i="3"/>
  <c r="E22" i="3"/>
  <c r="E25" i="3"/>
  <c r="E28" i="3"/>
  <c r="E31" i="3"/>
  <c r="E3" i="8"/>
  <c r="E6" i="8"/>
  <c r="H4" i="1"/>
  <c r="G4" i="1" s="1"/>
  <c r="E11" i="3"/>
  <c r="J30" i="8" l="1"/>
  <c r="J16" i="3"/>
  <c r="C16" i="5" s="1"/>
  <c r="E16" i="5" s="1"/>
  <c r="J26" i="3"/>
  <c r="C26" i="5" s="1"/>
  <c r="E26" i="5" s="1"/>
  <c r="J12" i="8"/>
  <c r="J30" i="3"/>
  <c r="C30" i="5" s="1"/>
  <c r="E30" i="5" s="1"/>
  <c r="J14" i="3"/>
  <c r="C14" i="5" s="1"/>
  <c r="E14" i="5" s="1"/>
  <c r="J14" i="8"/>
  <c r="J6" i="8"/>
  <c r="J9" i="8"/>
  <c r="J13" i="8"/>
  <c r="J22" i="3"/>
  <c r="C22" i="5" s="1"/>
  <c r="E22" i="5" s="1"/>
  <c r="J23" i="8"/>
  <c r="J11" i="3"/>
  <c r="C11" i="5" s="1"/>
  <c r="E11" i="5" s="1"/>
  <c r="J17" i="8"/>
  <c r="J18" i="8"/>
  <c r="J6" i="3"/>
  <c r="C6" i="5" s="1"/>
  <c r="E6" i="5" s="1"/>
  <c r="J31" i="8"/>
  <c r="J23" i="3"/>
  <c r="C23" i="5" s="1"/>
  <c r="E23" i="5" s="1"/>
  <c r="J25" i="3"/>
  <c r="C25" i="5" s="1"/>
  <c r="E25" i="5" s="1"/>
  <c r="J19" i="3"/>
  <c r="C19" i="5" s="1"/>
  <c r="E19" i="5" s="1"/>
  <c r="J31" i="3"/>
  <c r="C31" i="5" s="1"/>
  <c r="E31" i="5" s="1"/>
  <c r="J15" i="3"/>
  <c r="C15" i="5" s="1"/>
  <c r="E15" i="5" s="1"/>
  <c r="J24" i="8"/>
  <c r="J4" i="8"/>
  <c r="J9" i="3"/>
  <c r="C9" i="5" s="1"/>
  <c r="E9" i="5" s="1"/>
  <c r="J13" i="3"/>
  <c r="C13" i="5" s="1"/>
  <c r="E13" i="5" s="1"/>
  <c r="J5" i="8"/>
  <c r="J18" i="3"/>
  <c r="C18" i="5" s="1"/>
  <c r="E18" i="5" s="1"/>
  <c r="J32" i="3"/>
  <c r="G6" i="1"/>
  <c r="J28" i="3"/>
  <c r="C28" i="5" s="1"/>
  <c r="E28" i="5" s="1"/>
  <c r="J28" i="8"/>
  <c r="J21" i="3"/>
  <c r="C21" i="5" s="1"/>
  <c r="E21" i="5" s="1"/>
  <c r="H3" i="5" s="1"/>
  <c r="J24" i="3"/>
  <c r="C24" i="5" s="1"/>
  <c r="E24" i="5" s="1"/>
  <c r="J17" i="3"/>
  <c r="C17" i="5" s="1"/>
  <c r="E17" i="5" s="1"/>
  <c r="J20" i="3"/>
  <c r="C20" i="5" s="1"/>
  <c r="E20" i="5" s="1"/>
  <c r="J3" i="8"/>
  <c r="J32" i="8"/>
  <c r="J8" i="8"/>
  <c r="J10" i="3"/>
  <c r="C10" i="5" s="1"/>
  <c r="E10" i="5" s="1"/>
  <c r="J27" i="8"/>
  <c r="J29" i="3"/>
  <c r="C29" i="5" s="1"/>
  <c r="E29" i="5" s="1"/>
  <c r="J3" i="3"/>
  <c r="C3" i="5" s="1"/>
  <c r="E3" i="5" s="1"/>
  <c r="J21" i="8"/>
  <c r="J8" i="3"/>
  <c r="C8" i="5" s="1"/>
  <c r="E8" i="5" s="1"/>
  <c r="J19" i="8"/>
  <c r="J33" i="8"/>
  <c r="J7" i="8"/>
  <c r="J20" i="8"/>
  <c r="J26" i="8"/>
  <c r="J22" i="8"/>
  <c r="J11" i="8"/>
  <c r="J27" i="3"/>
  <c r="J29" i="8"/>
  <c r="J25" i="8"/>
  <c r="J16" i="8"/>
  <c r="J33" i="3"/>
  <c r="G7" i="1" l="1"/>
  <c r="C27" i="5"/>
  <c r="E27"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Luciano Segundo</author>
    <author/>
  </authors>
  <commentList>
    <comment ref="D4" authorId="0" shapeId="0" xr:uid="{00000000-0006-0000-0100-00000100000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shapeId="0" xr:uid="{00000000-0006-0000-0100-000002000000}">
      <text>
        <r>
          <rPr>
            <sz val="10"/>
            <color rgb="FF000000"/>
            <rFont val="Aptos Narrow"/>
            <scheme val="minor"/>
          </rPr>
          <t>Seu deslocamento é 12m (em vez de 9m).</t>
        </r>
      </text>
    </comment>
    <comment ref="D5" authorId="0" shapeId="0" xr:uid="{00000000-0006-0000-0100-00000300000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5" authorId="1" shapeId="0" xr:uid="{00000000-0006-0000-0100-000004000000}">
      <text>
        <r>
          <rPr>
            <sz val="10"/>
            <color rgb="FF000000"/>
            <rFont val="Aptos Narrow"/>
            <scheme val="minor"/>
          </rPr>
          <t>Você
recebe visão na penumbra e +2 em
Misticismo e Percepção.</t>
        </r>
      </text>
    </comment>
    <comment ref="D6" authorId="0" shapeId="0" xr:uid="{00000000-0006-0000-0100-000005000000}">
      <text>
        <r>
          <rPr>
            <b/>
            <sz val="9"/>
            <rFont val="Segoe UI"/>
            <charset val="134"/>
          </rPr>
          <t>Luciano Segundo:</t>
        </r>
        <r>
          <rPr>
            <sz val="9"/>
            <rFont val="Segoe UI"/>
            <charset val="134"/>
          </rPr>
          <t xml:space="preserve">
Aumento de Atributo. Você recebe +2 em um
atributo a sua escolha. Você pode escolher este poder
várias vezes. A partir da segunda vez que escolhê-lo
para o mesmo atributo, o aumento diminui para +1.</t>
        </r>
      </text>
    </comment>
    <comment ref="L6" authorId="1" shapeId="0" xr:uid="{00000000-0006-0000-0100-000006000000}">
      <text>
        <r>
          <rPr>
            <sz val="10"/>
            <color rgb="FF000000"/>
            <rFont val="Aptos Narrow"/>
            <scheme val="minor"/>
          </rPr>
          <t xml:space="preserve">Você recebe
+1 ponto de mana por nível.
</t>
        </r>
      </text>
    </comment>
    <comment ref="D7" authorId="0" shapeId="0" xr:uid="{00000000-0006-0000-0100-00000700000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7" authorId="0" shapeId="0" xr:uid="{00000000-0006-0000-0100-000008000000}">
      <text>
        <r>
          <rPr>
            <b/>
            <sz val="9"/>
            <rFont val="Segoe UI"/>
            <charset val="134"/>
          </rPr>
          <t>Luciano Segundo:</t>
        </r>
        <r>
          <rPr>
            <sz val="9"/>
            <rFont val="Segoe UI"/>
            <charset val="134"/>
          </rPr>
          <t xml:space="preserve">
Poder de Origem: Estudioso
A primeira criatura inteligente (Int 3 ou mais)
que atacar você em uma cena deve fazer um teste de
Vontade (CD Car). Se falhar, perderá sua ação. Este
poder só funciona uma vez por cena; independentemente de a criatura falhar ou não no teste, poderá
atacá-lo nas rodadas seguintes. Pré-requisito: Car 13.
</t>
        </r>
      </text>
    </comment>
    <comment ref="D8" authorId="0" shapeId="0" xr:uid="{00000000-0006-0000-0100-00000900000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8" authorId="0" shapeId="0" xr:uid="{00000000-0006-0000-0100-00000A00000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shapeId="0" xr:uid="{00000000-0006-0000-0100-00000B00000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0" authorId="0" shapeId="0" xr:uid="{00000000-0006-0000-0100-00000C000000}">
      <text>
        <r>
          <rPr>
            <b/>
            <sz val="9"/>
            <rFont val="Segoe UI"/>
            <charset val="134"/>
          </rPr>
          <t>Luciano Segundo:</t>
        </r>
        <r>
          <rPr>
            <sz val="9"/>
            <rFont val="Segoe UI"/>
            <charset val="134"/>
          </rPr>
          <t xml:space="preserve">
Quando usa uma arma corpo a corpo
feita por você mesmo, o dano dela aumenta em um
passo. Pré-requisitos: Armeiro, 5o nível de inventor.</t>
        </r>
      </text>
    </comment>
    <comment ref="D11" authorId="0" shapeId="0" xr:uid="{00000000-0006-0000-0100-00000D00000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shapeId="0" xr:uid="{00000000-0006-0000-0100-00000E00000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shapeId="0" xr:uid="{00000000-0006-0000-0100-00000F00000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Luciano Segundo</author>
  </authors>
  <commentList>
    <comment ref="B3" authorId="0" shapeId="0" xr:uid="{00000000-0006-0000-0300-00000100000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shapeId="0" xr:uid="{00000000-0006-0000-0300-00000200000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shapeId="0" xr:uid="{00000000-0006-0000-0300-00000300000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shapeId="0" xr:uid="{00000000-0006-0000-0300-00000400000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shapeId="0" xr:uid="{00000000-0006-0000-0300-00000500000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shapeId="0" xr:uid="{00000000-0006-0000-0300-00000600000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shapeId="0" xr:uid="{00000000-0006-0000-0300-00000700000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shapeId="0" xr:uid="{00000000-0006-0000-0300-00000800000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shapeId="0" xr:uid="{00000000-0006-0000-0300-00000900000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shapeId="0" xr:uid="{00000000-0006-0000-0300-00000A00000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shapeId="0" xr:uid="{00000000-0006-0000-0300-00000B00000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shapeId="0" xr:uid="{00000000-0006-0000-0300-00000C00000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shapeId="0" xr:uid="{00000000-0006-0000-0300-00000D00000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shapeId="0" xr:uid="{00000000-0006-0000-0300-00000E00000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dopanime</author>
  </authors>
  <commentList>
    <comment ref="D10" authorId="0" shapeId="0" xr:uid="{00000000-0006-0000-0400-000001000000}">
      <text>
        <r>
          <rPr>
            <b/>
            <sz val="9"/>
            <rFont val="Arial"/>
            <charset val="134"/>
          </rPr>
          <t>dopanime:</t>
        </r>
        <r>
          <rPr>
            <sz val="9"/>
            <rFont val="Arial"/>
            <charset val="134"/>
          </rPr>
          <t xml:space="preserve">
Machado de guerra:
base - 1d12, x3 (multiplicador de crítico), 20 (crítico)
Modificado - 3d6+2, x4 (multiplicador de crítico), 20 (crítico), +1 em teste de ataque
Modificação 1 - Maciça - +1 no multiplicador de crítico
Modificação 2 - Material Especial (Adamante) - Armas de adamante aumentam seu dano
em um passo
Modificação 3 - Cruel - +1 nas rolagens de dano
Modificação 4 - Atroz - +2 nas rolagens de dano (pré-requisito Cruel)
Modificação 5 - Certeira - +1 nos testes de ataque</t>
        </r>
      </text>
    </comment>
  </commentList>
</comments>
</file>

<file path=xl/sharedStrings.xml><?xml version="1.0" encoding="utf-8"?>
<sst xmlns="http://schemas.openxmlformats.org/spreadsheetml/2006/main" count="555" uniqueCount="188">
  <si>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</si>
  <si>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</si>
  <si>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</si>
  <si>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</si>
  <si>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</si>
  <si>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</si>
  <si>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</si>
  <si>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</si>
  <si>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</si>
  <si>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</si>
  <si>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</si>
  <si>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</si>
  <si>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</si>
  <si>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</si>
  <si>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</si>
  <si>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</si>
  <si>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</si>
  <si>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</si>
  <si>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</si>
  <si>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</si>
  <si>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</si>
  <si>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</si>
  <si>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</si>
  <si>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</si>
  <si>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</si>
  <si>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</si>
  <si>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</si>
  <si>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</si>
  <si>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</si>
  <si>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Couro</t>
  </si>
  <si>
    <t>Machado de Guerra</t>
  </si>
  <si>
    <t>Status Anteriores</t>
  </si>
  <si>
    <t>Poderes</t>
  </si>
  <si>
    <t>Outros Poderes</t>
  </si>
  <si>
    <t>Nível 1</t>
  </si>
  <si>
    <t>Engenhosidade, protótipo</t>
  </si>
  <si>
    <t>Tipo</t>
  </si>
  <si>
    <t>Poder</t>
  </si>
  <si>
    <t>Nível 2</t>
  </si>
  <si>
    <t>Alquimista iniciado</t>
  </si>
  <si>
    <t>PI</t>
  </si>
  <si>
    <t>Raça</t>
  </si>
  <si>
    <t>Graça de Glorien</t>
  </si>
  <si>
    <t>Deslocamento 12m</t>
  </si>
  <si>
    <t>Nível 3</t>
  </si>
  <si>
    <t>Alquimista de Batalha</t>
  </si>
  <si>
    <t>Sentidos Elficos</t>
  </si>
  <si>
    <t>+2 Mitiscismo e Percepção</t>
  </si>
  <si>
    <t>Nível 4</t>
  </si>
  <si>
    <t>Aumento de Atributo</t>
  </si>
  <si>
    <t>Herança Férica</t>
  </si>
  <si>
    <t>+1 PM por nvl</t>
  </si>
  <si>
    <t>Nível 5</t>
  </si>
  <si>
    <t>Síntese Rápida</t>
  </si>
  <si>
    <t>Origem</t>
  </si>
  <si>
    <t>Aparência inofensiva</t>
  </si>
  <si>
    <t>Nível 6</t>
  </si>
  <si>
    <t>Engenhoqueiro</t>
  </si>
  <si>
    <t>Divindade</t>
  </si>
  <si>
    <t>Voz da Civilização</t>
  </si>
  <si>
    <t>Nível 7</t>
  </si>
  <si>
    <t>Armeiro</t>
  </si>
  <si>
    <t>Nível 8</t>
  </si>
  <si>
    <t>Ferreiro</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</si>
  <si>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</si>
  <si>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</si>
  <si>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</si>
  <si>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</si>
  <si>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</si>
  <si>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</si>
  <si>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</si>
  <si>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</si>
  <si>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</si>
  <si>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</si>
  <si>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</si>
  <si>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</si>
  <si>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</si>
  <si>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</si>
  <si>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</si>
  <si>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</si>
  <si>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</si>
  <si>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</si>
  <si>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</si>
  <si>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</si>
  <si>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</si>
  <si>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</si>
  <si>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</si>
  <si>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</si>
  <si>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</si>
  <si>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</si>
  <si>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</si>
  <si>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</si>
  <si>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</si>
  <si>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</si>
  <si>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</si>
  <si>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</si>
  <si>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</si>
  <si>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</si>
  <si>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</si>
  <si>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</si>
  <si>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</si>
  <si>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</si>
  <si>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</si>
  <si>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</si>
  <si>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</si>
  <si>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</si>
  <si>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</si>
  <si>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</si>
  <si>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</si>
  <si>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</si>
  <si>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</si>
  <si>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</si>
  <si>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</si>
  <si>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</si>
  <si>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3d6+2</t>
  </si>
  <si>
    <t>Abrir nota</t>
  </si>
  <si>
    <t>x4</t>
  </si>
  <si>
    <t>Itens</t>
  </si>
  <si>
    <t>Quantidade</t>
  </si>
  <si>
    <t>Peso Un.</t>
  </si>
  <si>
    <t>Preço Un.</t>
  </si>
  <si>
    <t>Livro aprimorado</t>
  </si>
  <si>
    <t>+2 Guerra</t>
  </si>
  <si>
    <t>Livros comuns</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</si>
  <si>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</si>
  <si>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</si>
  <si>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</si>
  <si>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</si>
  <si>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</si>
  <si>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</si>
  <si>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</si>
  <si>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</si>
  <si>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</si>
  <si>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</si>
  <si>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</si>
  <si>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</si>
  <si>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</si>
  <si>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</si>
  <si>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</si>
  <si>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</si>
  <si>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</si>
  <si>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</si>
  <si>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</si>
  <si>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</si>
  <si>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</si>
  <si>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</si>
  <si>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</si>
  <si>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</si>
  <si>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</si>
  <si>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</si>
  <si>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</si>
  <si>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</si>
  <si>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</si>
  <si>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</si>
  <si>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</si>
  <si>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</si>
  <si>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</si>
  <si>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</si>
  <si>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</si>
  <si>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</si>
  <si>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</si>
  <si>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</si>
  <si>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</si>
  <si>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</si>
  <si>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</si>
  <si>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</si>
  <si>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</si>
  <si>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</si>
  <si>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</si>
  <si>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</si>
  <si>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</si>
  <si>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</si>
  <si>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</si>
  <si>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</si>
  <si>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</si>
  <si>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</si>
  <si>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</si>
  <si>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</si>
  <si>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</si>
  <si>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 Treinadas</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</si>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</sst>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0"/>
      <color rgb="FF000000"/>
      <name val="Aptos Narrow"/>
      <scheme val="minor"/>
    </font>
    <font>
      <sz val="9"/>
      <name val="Arial"/>
      <charset val="134"/>
    </font>
    <font>
      <sz val="9"/>
      <name val="Segoe UI"/>
      <charset val="134"/>
    </font>
    <font>
      <b/>
      <sz val="9"/>
      <name val="Arial"/>
      <charset val="134"/>
    </font>
    <font>
      <b/>
      <sz val="9"/>
      <name val="Segoe UI"/>
      <charset val="134"/>
    </font>
  </fonts>
  <fills count="4">
    <fill>
      <patternFill patternType="none"/>
    </fill>
    <fill>
      <patternFill patternType="gray125"/>
    </fill>
    <fill>
      <patternFill patternType="solid">
        <fgColor rgb="FFD7CFCB"/>
        <bgColor indexed="64"/>
      </patternFill>
    </fill>
    <fill>
      <patternFill patternType="solid">
        <fgColor theme="0"/>
        <bgColor indexed="64"/>
      </patternFill>
    </fill>
  </fills>
  <borders count="37">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style="thin">
        <color auto="1"/>
      </left>
      <right/>
      <top style="thick">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right style="thick">
        <color auto="1"/>
      </right>
      <top style="thin">
        <color auto="1"/>
      </top>
      <bottom style="thick">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s>
  <cellStyleXfs count="1">
    <xf numFmtId="0" fontId="0" fillId="0" borderId="0"/>
  </cellStyleXfs>
  <cellXfs count="117">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1" fillId="2" borderId="10" xfId="0" applyFont="1" applyFill="1" applyBorder="1" applyAlignment="1">
      <alignment horizontal="left" vertical="center"/>
    </xf>
    <xf numFmtId="0" fontId="2" fillId="0" borderId="11" xfId="0" applyFont="1" applyBorder="1" applyAlignment="1">
      <alignment horizontal="center" vertical="center"/>
    </xf>
    <xf numFmtId="0" fontId="2" fillId="2" borderId="8"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12" xfId="0" applyFont="1" applyFill="1" applyBorder="1" applyAlignment="1">
      <alignment horizontal="center" vertical="center"/>
    </xf>
    <xf numFmtId="0" fontId="1" fillId="2" borderId="13" xfId="0" applyFont="1" applyFill="1" applyBorder="1" applyAlignment="1">
      <alignment horizontal="center" vertical="center" wrapText="1"/>
    </xf>
    <xf numFmtId="0" fontId="1" fillId="2" borderId="14" xfId="0" applyFont="1" applyFill="1" applyBorder="1" applyAlignment="1">
      <alignment horizontal="center" vertical="center" wrapText="1"/>
    </xf>
    <xf numFmtId="0" fontId="2" fillId="3" borderId="15"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5" xfId="0" applyFont="1" applyFill="1" applyBorder="1" applyAlignment="1">
      <alignment horizontal="center" vertical="center"/>
    </xf>
    <xf numFmtId="0" fontId="2" fillId="3" borderId="1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9"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2"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1" fillId="2" borderId="18" xfId="0" applyFont="1" applyFill="1" applyBorder="1" applyAlignment="1">
      <alignment horizontal="center" vertical="center" wrapText="1"/>
    </xf>
    <xf numFmtId="0" fontId="1" fillId="2" borderId="28" xfId="0" applyFont="1" applyFill="1" applyBorder="1" applyAlignment="1">
      <alignment vertical="center"/>
    </xf>
    <xf numFmtId="0" fontId="1" fillId="2" borderId="29" xfId="0" applyFont="1" applyFill="1" applyBorder="1" applyAlignment="1">
      <alignment vertical="center"/>
    </xf>
    <xf numFmtId="0" fontId="2" fillId="3" borderId="30" xfId="0" applyFont="1" applyFill="1" applyBorder="1" applyAlignment="1">
      <alignment vertical="center" wrapText="1"/>
    </xf>
    <xf numFmtId="0" fontId="2" fillId="3" borderId="31" xfId="0" applyFont="1" applyFill="1" applyBorder="1" applyAlignment="1">
      <alignment vertical="center" wrapText="1"/>
    </xf>
    <xf numFmtId="0" fontId="1" fillId="2" borderId="30" xfId="0" applyFont="1" applyFill="1" applyBorder="1" applyAlignment="1">
      <alignment vertical="center"/>
    </xf>
    <xf numFmtId="0" fontId="1" fillId="2" borderId="31" xfId="0" applyFont="1" applyFill="1" applyBorder="1" applyAlignment="1">
      <alignment vertical="center"/>
    </xf>
    <xf numFmtId="0" fontId="2" fillId="3" borderId="31" xfId="0" applyFont="1" applyFill="1" applyBorder="1" applyAlignment="1">
      <alignment vertical="center"/>
    </xf>
    <xf numFmtId="0" fontId="2" fillId="3" borderId="32" xfId="0" applyFont="1" applyFill="1" applyBorder="1" applyAlignment="1">
      <alignment vertical="center" wrapText="1"/>
    </xf>
    <xf numFmtId="0" fontId="2" fillId="3" borderId="33" xfId="0" applyFont="1" applyFill="1" applyBorder="1" applyAlignment="1">
      <alignment vertical="center" wrapText="1"/>
    </xf>
    <xf numFmtId="0" fontId="1" fillId="2" borderId="34" xfId="0" applyFont="1" applyFill="1" applyBorder="1" applyAlignment="1">
      <alignment vertical="center"/>
    </xf>
    <xf numFmtId="0" fontId="2" fillId="3" borderId="35"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0" fillId="0" borderId="0" xfId="0" applyAlignment="1">
      <alignment horizontal="center" vertical="center"/>
    </xf>
    <xf numFmtId="0" fontId="1" fillId="2" borderId="35" xfId="0" quotePrefix="1" applyFont="1" applyFill="1" applyBorder="1" applyAlignment="1">
      <alignment vertical="center"/>
    </xf>
    <xf numFmtId="0" fontId="2" fillId="3" borderId="35" xfId="0" quotePrefix="1" applyFont="1" applyFill="1" applyBorder="1" applyAlignment="1">
      <alignment vertical="center" wrapText="1"/>
    </xf>
    <xf numFmtId="0" fontId="1" fillId="2" borderId="1"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2" fillId="3" borderId="22"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2" fillId="3" borderId="8"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2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20"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12" xfId="0" applyFont="1" applyFill="1" applyBorder="1" applyAlignment="1">
      <alignment horizontal="center" vertical="center"/>
    </xf>
    <xf numFmtId="0" fontId="1" fillId="2" borderId="23" xfId="0" applyFont="1" applyFill="1" applyBorder="1" applyAlignment="1">
      <alignment horizontal="center" vertical="center"/>
    </xf>
    <xf numFmtId="0" fontId="2" fillId="3" borderId="8" xfId="0" applyFont="1" applyFill="1" applyBorder="1" applyAlignment="1">
      <alignment horizontal="center" vertical="center"/>
    </xf>
    <xf numFmtId="0" fontId="1" fillId="2" borderId="8" xfId="0" applyFont="1" applyFill="1" applyBorder="1" applyAlignment="1">
      <alignment horizontal="center" vertical="center"/>
    </xf>
    <xf numFmtId="0" fontId="1" fillId="2" borderId="9"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22"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8" xfId="0" quotePrefix="1" applyFont="1" applyFill="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cellXfs>
  <cellStyles count="1">
    <cellStyle name="Normal" xfId="0" builtinId="0"/>
  </cellStyles>
  <dxfs count="28">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B2:E35" totalsRowShown="0">
  <autoFilter ref="B2:E35" xr:uid="{00000000-0009-0000-0100-000002000000}"/>
  <tableColumns count="4">
    <tableColumn id="1" xr3:uid="{00000000-0010-0000-0000-000001000000}" name="Magia" dataDxfId="27"/>
    <tableColumn id="4" xr3:uid="{00000000-0010-0000-0000-000004000000}" name="Tipo" dataDxfId="26"/>
    <tableColumn id="2" xr3:uid="{00000000-0010-0000-0000-000002000000}" name="Círculo" dataDxfId="25"/>
    <tableColumn id="3" xr3:uid="{00000000-0010-0000-0000-000003000000}" name="Custo" dataDxfId="24">
      <calculatedColumnFormula>IFERROR(VLOOKUP(D3,$G$3:$H$7,2,FALSE)^2*10,"")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ela1" displayName="Tabela1" ref="B2:M33" totalsRowShown="0">
  <autoFilter ref="B2:M33" xr:uid="{00000000-0009-0000-0100-000001000000}"/>
  <sortState xmlns:xlrd2="http://schemas.microsoft.com/office/spreadsheetml/2017/richdata2" ref="B2:M33">
    <sortCondition ref="B2:B33"/>
  </sortState>
  <tableColumns count="12">
    <tableColumn id="1" xr3:uid="{00000000-0010-0000-0100-000001000000}" name="Perícia" dataDxfId="23"/>
    <tableColumn id="11" xr3:uid="{00000000-0010-0000-0100-00000B000000}" name="ATR" dataDxfId="22"/>
    <tableColumn id="2" xr3:uid="{00000000-0010-0000-0100-000002000000}" name="MOD" dataDxfId="21">
      <calculatedColumnFormula>VLOOKUP(C3,Ligma!$B$3:$D$8,3,FALSE)</calculatedColumnFormula>
    </tableColumn>
    <tableColumn id="3" xr3:uid="{00000000-0010-0000-0100-000003000000}" name="1/2 Nível" dataDxfId="20">
      <calculatedColumnFormula>ROUNDDOWN(Ligma!$G$2/2,0)</calculatedColumnFormula>
    </tableColumn>
    <tableColumn id="4" xr3:uid="{00000000-0010-0000-0100-000004000000}" name="Treino" dataDxfId="19">
      <calculatedColumnFormula>IF(Tabela1[[#This Row],[Treinada?]]="sim",VLOOKUP(Ligma!$G$2,'uns dados aí'!$E$2:$F$4,2,TRUE),"")</calculatedColumnFormula>
    </tableColumn>
    <tableColumn id="10" xr3:uid="{00000000-0010-0000-0100-00000A000000}" name="Raça" dataDxfId="18"/>
    <tableColumn id="5" xr3:uid="{00000000-0010-0000-0100-000005000000}" name="Bônus" dataDxfId="17"/>
    <tableColumn id="9" xr3:uid="{00000000-0010-0000-0100-000009000000}" name="Bônus Habilidade" dataDxfId="16"/>
    <tableColumn id="6" xr3:uid="{00000000-0010-0000-0100-000006000000}" name="Total" dataDxfId="15">
      <calculatedColumnFormula>SUM(Tabela1[[#This Row],[MOD]:[Bônus Habilidade]])-IF(Tabela1[[#This Row],[Penalidade de Armadura?]]="sim",Ligma!$D$16,0)</calculatedColumnFormula>
    </tableColumn>
    <tableColumn id="7" xr3:uid="{00000000-0010-0000-0100-000007000000}" name="Treinada?" dataDxfId="14"/>
    <tableColumn id="12" xr3:uid="{00000000-0010-0000-0100-00000C000000}" name="Somente Treinada?" dataDxfId="13"/>
    <tableColumn id="8" xr3:uid="{00000000-0010-0000-0100-000008000000}" name="Penalidade de Armadura?" dataDxfId="12"/>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14" displayName="Tabela14" ref="B2:M33" totalsRowShown="0">
  <autoFilter ref="B2:M33" xr:uid="{00000000-0009-0000-0100-000003000000}"/>
  <sortState xmlns:xlrd2="http://schemas.microsoft.com/office/spreadsheetml/2017/richdata2" ref="B2:M33">
    <sortCondition ref="B2:B33"/>
  </sortState>
  <tableColumns count="12">
    <tableColumn id="1" xr3:uid="{00000000-0010-0000-0200-000001000000}" name="Perícia" dataDxfId="11"/>
    <tableColumn id="11" xr3:uid="{00000000-0010-0000-0200-00000B000000}" name="ATR" dataDxfId="10"/>
    <tableColumn id="2" xr3:uid="{00000000-0010-0000-0200-000002000000}" name="MOD" dataDxfId="9">
      <calculatedColumnFormula>VLOOKUP(C3,Ligma!$B$3:$D$8,3,FALSE)</calculatedColumnFormula>
    </tableColumn>
    <tableColumn id="3" xr3:uid="{00000000-0010-0000-0200-000003000000}" name="1/2 Nível" dataDxfId="8">
      <calculatedColumnFormula>VLOOKUP(Ligma!$G$2,'uns dados aí'!$I$3:$K$22,2,FALSE)</calculatedColumnFormula>
    </tableColumn>
    <tableColumn id="4" xr3:uid="{00000000-0010-0000-0200-000004000000}" name="Treino" dataDxfId="7">
      <calculatedColumnFormula>IF(Tabela14[[#This Row],[Treinada?]]="sim",VLOOKUP(Ligma!$G$2,'uns dados aí'!$E$2:$F$4,2,TRUE),"")</calculatedColumnFormula>
    </tableColumn>
    <tableColumn id="10" xr3:uid="{00000000-0010-0000-0200-00000A000000}" name="Raça" dataDxfId="6"/>
    <tableColumn id="5" xr3:uid="{00000000-0010-0000-0200-000005000000}" name="Bônus" dataDxfId="5"/>
    <tableColumn id="9" xr3:uid="{00000000-0010-0000-0200-000009000000}" name="Bônus Habilidade" dataDxfId="4"/>
    <tableColumn id="6" xr3:uid="{00000000-0010-0000-0200-000006000000}" name="Total" dataDxfId="3">
      <calculatedColumnFormula>SUM(Tabela14[[#This Row],[MOD]:[Bônus Habilidade]])-IF(Tabela14[[#This Row],[Penalidade de Armadura?]]="sim",Poderes!#REF!,0)</calculatedColumnFormula>
    </tableColumn>
    <tableColumn id="7" xr3:uid="{00000000-0010-0000-0200-000007000000}" name="Treinada?" dataDxfId="2"/>
    <tableColumn id="12" xr3:uid="{00000000-0010-0000-0200-00000C000000}" name="Somente Treinada?" dataDxfId="1"/>
    <tableColumn id="8" xr3:uid="{00000000-0010-0000-0200-000008000000}" name="Penalidade de Armadura?" dataDxfId="0"/>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1"/>
  <sheetViews>
    <sheetView tabSelected="1" zoomScale="130" zoomScaleNormal="130" workbookViewId="0">
      <selection activeCell="G2" sqref="G2:H2"/>
    </sheetView>
  </sheetViews>
  <sheetFormatPr defaultColWidth="9" defaultRowHeight="13.5"/>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2" spans="2:14" ht="15.75" customHeight="1">
      <c r="B2" s="81" t="s">
        <v>0</v>
      </c>
      <c r="C2" s="82"/>
      <c r="D2" s="40" t="s">
        <v>1</v>
      </c>
      <c r="F2" s="39" t="s">
        <v>2</v>
      </c>
      <c r="G2" s="82">
        <f>VLOOKUP(G10,'uns dados aí'!$H$2:$I$22,2,TRUE)</f>
        <v>10</v>
      </c>
      <c r="H2" s="83"/>
      <c r="K2" s="81" t="s">
        <v>3</v>
      </c>
      <c r="L2" s="82"/>
      <c r="M2" s="82"/>
      <c r="N2" s="83"/>
    </row>
    <row r="3" spans="2:14" ht="14.25">
      <c r="B3" s="42" t="s">
        <v>4</v>
      </c>
      <c r="C3" s="31">
        <f>'uns dados aí'!C3+(VLOOKUP(B3,Perícias!$O$7:$P$13,2,FALSE))</f>
        <v>16</v>
      </c>
      <c r="D3" s="43">
        <f t="shared" ref="D3:D8" si="0">ROUNDDOWN((C3-10)/2,0)</f>
        <v>3</v>
      </c>
      <c r="F3" s="42" t="s">
        <v>5</v>
      </c>
      <c r="G3" s="31">
        <f>H3-L25-SUM(L4:L22)</f>
        <v>49</v>
      </c>
      <c r="H3" s="43">
        <f>'uns dados aí'!N2+((G2-1)*'uns dados aí'!C12)</f>
        <v>49</v>
      </c>
      <c r="K3" s="42" t="s">
        <v>6</v>
      </c>
      <c r="L3" s="31" t="s">
        <v>5</v>
      </c>
      <c r="M3" s="31" t="s">
        <v>7</v>
      </c>
      <c r="N3" s="43" t="s">
        <v>8</v>
      </c>
    </row>
    <row r="4" spans="2:14" ht="15">
      <c r="B4" s="45" t="s">
        <v>9</v>
      </c>
      <c r="C4" s="33">
        <f>'uns dados aí'!C4+(VLOOKUP(B4,Perícias!$O$7:$P$13,2,FALSE))</f>
        <v>17</v>
      </c>
      <c r="D4" s="46">
        <f t="shared" si="0"/>
        <v>3</v>
      </c>
      <c r="F4" s="45" t="s">
        <v>7</v>
      </c>
      <c r="G4" s="33">
        <f>H4-L26-SUM(M4:M22)</f>
        <v>50</v>
      </c>
      <c r="H4" s="46">
        <f>'uns dados aí'!C13*G2</f>
        <v>50</v>
      </c>
      <c r="K4" s="45">
        <v>1</v>
      </c>
      <c r="L4" s="33"/>
      <c r="M4" s="33"/>
      <c r="N4" s="46"/>
    </row>
    <row r="5" spans="2:14" ht="14.25">
      <c r="B5" s="42" t="s">
        <v>10</v>
      </c>
      <c r="C5" s="31">
        <f>'uns dados aí'!C5+(VLOOKUP(B5,Perícias!$O$7:$P$13,2,FALSE))</f>
        <v>13</v>
      </c>
      <c r="D5" s="43">
        <f t="shared" si="0"/>
        <v>1</v>
      </c>
      <c r="F5" s="42" t="s">
        <v>11</v>
      </c>
      <c r="G5" s="84">
        <f>10+D4+C16</f>
        <v>15</v>
      </c>
      <c r="H5" s="85"/>
      <c r="K5" s="42">
        <v>2</v>
      </c>
      <c r="L5" s="31"/>
      <c r="M5" s="31"/>
      <c r="N5" s="43"/>
    </row>
    <row r="6" spans="2:14" ht="15">
      <c r="B6" s="45" t="s">
        <v>12</v>
      </c>
      <c r="C6" s="33">
        <f>'uns dados aí'!C6+(VLOOKUP(B6,Perícias!$O$7:$P$13,2,FALSE))</f>
        <v>20</v>
      </c>
      <c r="D6" s="46">
        <f t="shared" si="0"/>
        <v>5</v>
      </c>
      <c r="F6" s="45" t="s">
        <v>13</v>
      </c>
      <c r="G6" s="95">
        <f>G5+Perícias!J12</f>
        <v>21</v>
      </c>
      <c r="H6" s="96"/>
      <c r="K6" s="45">
        <v>3</v>
      </c>
      <c r="L6" s="33"/>
      <c r="M6" s="33"/>
      <c r="N6" s="46"/>
    </row>
    <row r="7" spans="2:14" ht="14.25">
      <c r="B7" s="42" t="s">
        <v>14</v>
      </c>
      <c r="C7" s="31">
        <f>'uns dados aí'!C7+(VLOOKUP(B7,Perícias!$O$7:$P$13,2,FALSE))</f>
        <v>18</v>
      </c>
      <c r="D7" s="43">
        <f t="shared" si="0"/>
        <v>4</v>
      </c>
      <c r="F7" s="42" t="s">
        <v>15</v>
      </c>
      <c r="G7" s="84">
        <f>Perícias!J27+Perícias!J21</f>
        <v>27</v>
      </c>
      <c r="H7" s="85"/>
      <c r="K7" s="42">
        <v>4</v>
      </c>
      <c r="L7" s="31"/>
      <c r="M7" s="31"/>
      <c r="N7" s="43"/>
    </row>
    <row r="8" spans="2:14" ht="15">
      <c r="B8" s="49" t="s">
        <v>16</v>
      </c>
      <c r="C8" s="54">
        <f>'uns dados aí'!C8+(VLOOKUP(B8,Perícias!$O$7:$P$13,2,FALSE))</f>
        <v>14</v>
      </c>
      <c r="D8" s="50">
        <f t="shared" si="0"/>
        <v>2</v>
      </c>
      <c r="F8" s="45" t="s">
        <v>17</v>
      </c>
      <c r="G8" s="86">
        <v>0.5</v>
      </c>
      <c r="H8" s="87"/>
      <c r="K8" s="45">
        <v>5</v>
      </c>
      <c r="L8" s="33"/>
      <c r="M8" s="33"/>
      <c r="N8" s="46"/>
    </row>
    <row r="9" spans="2:14" ht="14.25">
      <c r="F9" s="42" t="s">
        <v>18</v>
      </c>
      <c r="G9" s="88"/>
      <c r="H9" s="89"/>
      <c r="K9" s="42">
        <v>6</v>
      </c>
      <c r="L9" s="31"/>
      <c r="M9" s="31"/>
      <c r="N9" s="43"/>
    </row>
    <row r="10" spans="2:14" ht="15">
      <c r="F10" s="49" t="s">
        <v>19</v>
      </c>
      <c r="G10" s="90">
        <v>45000</v>
      </c>
      <c r="H10" s="91"/>
      <c r="K10" s="45">
        <v>7</v>
      </c>
      <c r="L10" s="33"/>
      <c r="M10" s="33"/>
      <c r="N10" s="46"/>
    </row>
    <row r="11" spans="2:14" ht="14.25">
      <c r="K11" s="42">
        <v>8</v>
      </c>
      <c r="L11" s="31"/>
      <c r="M11" s="31"/>
      <c r="N11" s="43"/>
    </row>
    <row r="12" spans="2:14" ht="15">
      <c r="B12" s="92" t="s">
        <v>20</v>
      </c>
      <c r="C12" s="93"/>
      <c r="D12" s="93"/>
      <c r="E12" s="93"/>
      <c r="F12" s="93"/>
      <c r="G12" s="93"/>
      <c r="H12" s="93"/>
      <c r="I12" s="94"/>
      <c r="K12" s="45">
        <v>9</v>
      </c>
      <c r="L12" s="33"/>
      <c r="M12" s="33"/>
      <c r="N12" s="46"/>
    </row>
    <row r="13" spans="2:14" ht="14.25">
      <c r="B13" s="78"/>
      <c r="K13" s="42">
        <v>10</v>
      </c>
      <c r="L13" s="31"/>
      <c r="M13" s="31"/>
      <c r="N13" s="43"/>
    </row>
    <row r="14" spans="2:14" ht="15">
      <c r="B14" s="81" t="s">
        <v>21</v>
      </c>
      <c r="C14" s="82"/>
      <c r="D14" s="83"/>
      <c r="F14" s="81" t="s">
        <v>22</v>
      </c>
      <c r="G14" s="82"/>
      <c r="H14" s="82"/>
      <c r="I14" s="83"/>
      <c r="K14" s="45">
        <v>11</v>
      </c>
      <c r="L14" s="33"/>
      <c r="M14" s="33"/>
      <c r="N14" s="46"/>
    </row>
    <row r="15" spans="2:14" ht="14.25">
      <c r="B15" s="42" t="s">
        <v>23</v>
      </c>
      <c r="C15" s="31" t="s">
        <v>24</v>
      </c>
      <c r="D15" s="43" t="s">
        <v>25</v>
      </c>
      <c r="F15" s="42" t="s">
        <v>23</v>
      </c>
      <c r="G15" s="31" t="s">
        <v>26</v>
      </c>
      <c r="H15" s="31" t="s">
        <v>27</v>
      </c>
      <c r="I15" s="43" t="s">
        <v>28</v>
      </c>
      <c r="K15" s="42">
        <v>12</v>
      </c>
      <c r="L15" s="31"/>
      <c r="M15" s="31"/>
      <c r="N15" s="43"/>
    </row>
    <row r="16" spans="2:14" ht="30">
      <c r="B16" s="49" t="s">
        <v>29</v>
      </c>
      <c r="C16" s="54">
        <f>IFERROR(VLOOKUP($B$16,Inventário!$B$3:$E$5,2,FALSE),"")</f>
        <v>2</v>
      </c>
      <c r="D16" s="50">
        <f>IFERROR(VLOOKUP($B$16,Inventário!$B$3:$E$5,3,FALSE),"")</f>
        <v>0</v>
      </c>
      <c r="F16" s="49" t="s">
        <v>30</v>
      </c>
      <c r="G16" s="54" t="str">
        <f>IFERROR(VLOOKUP($F$16,Inventário!$B$8:$E$13,2,FALSE),"")</f>
        <v>3d6+2</v>
      </c>
      <c r="H16" s="54" t="str">
        <f>IFERROR(VLOOKUP($F$16,Inventário!$B$8:$E$13,3,FALSE),"")</f>
        <v>Abrir nota</v>
      </c>
      <c r="I16" s="50" t="str">
        <f>IFERROR(VLOOKUP($F$16,Inventário!$B$8:$H$13,7,FALSE),"")</f>
        <v>x4</v>
      </c>
      <c r="K16" s="45">
        <v>13</v>
      </c>
      <c r="L16" s="33"/>
      <c r="M16" s="33"/>
      <c r="N16" s="46"/>
    </row>
    <row r="17" spans="11:14" ht="14.25">
      <c r="K17" s="42">
        <v>14</v>
      </c>
      <c r="L17" s="31"/>
      <c r="M17" s="31"/>
      <c r="N17" s="43"/>
    </row>
    <row r="18" spans="11:14" ht="15.75" customHeight="1">
      <c r="K18" s="45">
        <v>15</v>
      </c>
      <c r="L18" s="33"/>
      <c r="M18" s="33"/>
      <c r="N18" s="46"/>
    </row>
    <row r="19" spans="11:14" ht="14.25">
      <c r="K19" s="42">
        <v>16</v>
      </c>
      <c r="L19" s="31"/>
      <c r="M19" s="31"/>
      <c r="N19" s="43"/>
    </row>
    <row r="20" spans="11:14" ht="15">
      <c r="K20" s="45">
        <v>17</v>
      </c>
      <c r="L20" s="33"/>
      <c r="M20" s="33"/>
      <c r="N20" s="46"/>
    </row>
    <row r="21" spans="11:14" ht="14.25">
      <c r="K21" s="42">
        <v>18</v>
      </c>
      <c r="L21" s="31"/>
      <c r="M21" s="31"/>
      <c r="N21" s="43"/>
    </row>
    <row r="22" spans="11:14" ht="15.75" customHeight="1">
      <c r="K22" s="49">
        <v>20</v>
      </c>
      <c r="L22" s="54"/>
      <c r="M22" s="54"/>
      <c r="N22" s="50"/>
    </row>
    <row r="24" spans="11:14" ht="15">
      <c r="K24" s="81" t="s">
        <v>31</v>
      </c>
      <c r="L24" s="83"/>
    </row>
    <row r="25" spans="11:14" ht="14.25">
      <c r="K25" s="42" t="s">
        <v>5</v>
      </c>
      <c r="L25" s="43"/>
    </row>
    <row r="26" spans="11:14" ht="15">
      <c r="K26" s="49" t="s">
        <v>7</v>
      </c>
      <c r="L26" s="50"/>
    </row>
    <row r="41" ht="15.75" customHeight="1"/>
  </sheetData>
  <mergeCells count="13">
    <mergeCell ref="B2:C2"/>
    <mergeCell ref="G2:H2"/>
    <mergeCell ref="K2:N2"/>
    <mergeCell ref="G5:H5"/>
    <mergeCell ref="G6:H6"/>
    <mergeCell ref="B14:D14"/>
    <mergeCell ref="F14:I14"/>
    <mergeCell ref="K24:L24"/>
    <mergeCell ref="G7:H7"/>
    <mergeCell ref="G8:H8"/>
    <mergeCell ref="G9:H9"/>
    <mergeCell ref="G10:H10"/>
    <mergeCell ref="B12:I12"/>
  </mergeCell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Inventário!$B$9:$B$13</xm:f>
          </x14:formula1>
          <xm:sqref>F16</xm:sqref>
        </x14:dataValidation>
        <x14:dataValidation type="list" allowBlank="1" showInputMessage="1" showErrorMessage="1" xr:uid="{00000000-0002-0000-0000-000001000000}">
          <x14:formula1>
            <xm:f>Inventário!$B$4:$B$5</xm:f>
          </x14:formula1>
          <xm:sqref>B16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2"/>
  <sheetViews>
    <sheetView workbookViewId="0">
      <selection activeCell="C35" sqref="C35"/>
    </sheetView>
  </sheetViews>
  <sheetFormatPr defaultColWidth="9" defaultRowHeight="13.5"/>
  <cols>
    <col min="12" max="12" width="19.75" customWidth="1"/>
    <col min="13" max="13" width="22.25" customWidth="1"/>
    <col min="14" max="14" width="12.125" customWidth="1"/>
  </cols>
  <sheetData>
    <row r="1" spans="1:15" ht="15">
      <c r="A1" s="92" t="s">
        <v>32</v>
      </c>
      <c r="B1" s="93"/>
      <c r="C1" s="93"/>
      <c r="D1" s="93"/>
      <c r="E1" s="93"/>
      <c r="F1" s="93"/>
      <c r="G1" s="94"/>
      <c r="I1" s="92" t="s">
        <v>33</v>
      </c>
      <c r="J1" s="93"/>
      <c r="K1" s="93"/>
      <c r="L1" s="93"/>
      <c r="M1" s="93"/>
      <c r="N1" s="93"/>
      <c r="O1" s="94"/>
    </row>
    <row r="3" spans="1:15" ht="15">
      <c r="B3" s="81" t="s">
        <v>34</v>
      </c>
      <c r="C3" s="82"/>
      <c r="D3" s="82" t="s">
        <v>35</v>
      </c>
      <c r="E3" s="82"/>
      <c r="F3" s="40"/>
      <c r="K3" s="65" t="s">
        <v>36</v>
      </c>
      <c r="L3" s="66" t="s">
        <v>37</v>
      </c>
      <c r="M3" s="74" t="s">
        <v>24</v>
      </c>
    </row>
    <row r="4" spans="1:15" ht="15" customHeight="1">
      <c r="B4" s="97" t="s">
        <v>38</v>
      </c>
      <c r="C4" s="88"/>
      <c r="D4" s="88" t="s">
        <v>39</v>
      </c>
      <c r="E4" s="88"/>
      <c r="F4" s="43" t="s">
        <v>40</v>
      </c>
      <c r="K4" s="67" t="s">
        <v>41</v>
      </c>
      <c r="L4" s="68" t="s">
        <v>42</v>
      </c>
      <c r="M4" s="75" t="s">
        <v>43</v>
      </c>
    </row>
    <row r="5" spans="1:15" ht="15" customHeight="1">
      <c r="B5" s="98" t="s">
        <v>44</v>
      </c>
      <c r="C5" s="99"/>
      <c r="D5" s="99" t="s">
        <v>45</v>
      </c>
      <c r="E5" s="99"/>
      <c r="F5" s="46" t="s">
        <v>40</v>
      </c>
      <c r="K5" s="69" t="s">
        <v>41</v>
      </c>
      <c r="L5" s="70" t="s">
        <v>46</v>
      </c>
      <c r="M5" s="79" t="s">
        <v>47</v>
      </c>
    </row>
    <row r="6" spans="1:15" ht="15" customHeight="1">
      <c r="B6" s="97" t="s">
        <v>48</v>
      </c>
      <c r="C6" s="88"/>
      <c r="D6" s="88" t="s">
        <v>49</v>
      </c>
      <c r="E6" s="88"/>
      <c r="F6" s="43" t="s">
        <v>40</v>
      </c>
      <c r="K6" s="67" t="s">
        <v>41</v>
      </c>
      <c r="L6" s="68" t="s">
        <v>50</v>
      </c>
      <c r="M6" s="80" t="s">
        <v>51</v>
      </c>
    </row>
    <row r="7" spans="1:15" ht="15">
      <c r="B7" s="98" t="s">
        <v>52</v>
      </c>
      <c r="C7" s="99"/>
      <c r="D7" s="99" t="s">
        <v>53</v>
      </c>
      <c r="E7" s="99"/>
      <c r="F7" s="46" t="s">
        <v>40</v>
      </c>
      <c r="K7" s="69" t="s">
        <v>54</v>
      </c>
      <c r="L7" s="70" t="s">
        <v>55</v>
      </c>
      <c r="M7" s="76"/>
    </row>
    <row r="8" spans="1:15" ht="14.25">
      <c r="B8" s="97" t="s">
        <v>56</v>
      </c>
      <c r="C8" s="88"/>
      <c r="D8" s="88" t="s">
        <v>57</v>
      </c>
      <c r="E8" s="88"/>
      <c r="F8" s="43" t="s">
        <v>40</v>
      </c>
      <c r="K8" s="67" t="s">
        <v>58</v>
      </c>
      <c r="L8" s="71" t="s">
        <v>59</v>
      </c>
      <c r="M8" s="75"/>
    </row>
    <row r="9" spans="1:15" ht="15">
      <c r="B9" s="98" t="s">
        <v>60</v>
      </c>
      <c r="C9" s="99"/>
      <c r="D9" s="99" t="s">
        <v>61</v>
      </c>
      <c r="E9" s="99"/>
      <c r="F9" s="46" t="s">
        <v>40</v>
      </c>
      <c r="K9" s="69"/>
      <c r="L9" s="70"/>
      <c r="M9" s="76"/>
    </row>
    <row r="10" spans="1:15" ht="15" customHeight="1">
      <c r="B10" s="97" t="s">
        <v>62</v>
      </c>
      <c r="C10" s="88"/>
      <c r="D10" s="88" t="s">
        <v>63</v>
      </c>
      <c r="E10" s="88"/>
      <c r="F10" s="43" t="s">
        <v>40</v>
      </c>
      <c r="K10" s="67"/>
      <c r="L10" s="68"/>
      <c r="M10" s="75"/>
    </row>
    <row r="11" spans="1:15" ht="15">
      <c r="B11" s="98" t="s">
        <v>64</v>
      </c>
      <c r="C11" s="99"/>
      <c r="D11" s="99" t="s">
        <v>65</v>
      </c>
      <c r="E11" s="99"/>
      <c r="F11" s="46" t="s">
        <v>40</v>
      </c>
      <c r="K11" s="69"/>
      <c r="L11" s="70"/>
      <c r="M11" s="76"/>
    </row>
    <row r="12" spans="1:15" ht="14.25">
      <c r="B12" s="97" t="s">
        <v>66</v>
      </c>
      <c r="C12" s="88"/>
      <c r="D12" s="88" t="s">
        <v>67</v>
      </c>
      <c r="E12" s="88"/>
      <c r="F12" s="43" t="s">
        <v>40</v>
      </c>
      <c r="K12" s="67"/>
      <c r="L12" s="68"/>
      <c r="M12" s="75"/>
    </row>
    <row r="13" spans="1:15" ht="15">
      <c r="B13" s="98" t="s">
        <v>68</v>
      </c>
      <c r="C13" s="99"/>
      <c r="D13" s="99" t="s">
        <v>69</v>
      </c>
      <c r="E13" s="99"/>
      <c r="F13" s="46" t="s">
        <v>70</v>
      </c>
      <c r="K13" s="69"/>
      <c r="L13" s="70"/>
      <c r="M13" s="76"/>
    </row>
    <row r="14" spans="1:15" ht="14.25">
      <c r="B14" s="97" t="s">
        <v>71</v>
      </c>
      <c r="C14" s="88"/>
      <c r="D14" s="88"/>
      <c r="E14" s="88"/>
      <c r="F14" s="43"/>
      <c r="K14" s="67"/>
      <c r="L14" s="68"/>
      <c r="M14" s="75"/>
    </row>
    <row r="15" spans="1:15" ht="15">
      <c r="B15" s="98" t="s">
        <v>72</v>
      </c>
      <c r="C15" s="99"/>
      <c r="D15" s="99"/>
      <c r="E15" s="99"/>
      <c r="F15" s="46"/>
      <c r="K15" s="69"/>
      <c r="L15" s="70"/>
      <c r="M15" s="76"/>
    </row>
    <row r="16" spans="1:15" ht="14.25">
      <c r="B16" s="97" t="s">
        <v>73</v>
      </c>
      <c r="C16" s="88"/>
      <c r="D16" s="88"/>
      <c r="E16" s="88"/>
      <c r="F16" s="43"/>
      <c r="K16" s="67"/>
      <c r="L16" s="68"/>
      <c r="M16" s="75"/>
    </row>
    <row r="17" spans="2:13" ht="15">
      <c r="B17" s="98" t="s">
        <v>74</v>
      </c>
      <c r="C17" s="99"/>
      <c r="D17" s="99"/>
      <c r="E17" s="99"/>
      <c r="F17" s="46"/>
      <c r="K17" s="69"/>
      <c r="L17" s="70"/>
      <c r="M17" s="76"/>
    </row>
    <row r="18" spans="2:13" ht="14.25">
      <c r="B18" s="97" t="s">
        <v>75</v>
      </c>
      <c r="C18" s="88"/>
      <c r="D18" s="88"/>
      <c r="E18" s="88"/>
      <c r="F18" s="43"/>
      <c r="K18" s="67"/>
      <c r="L18" s="68"/>
      <c r="M18" s="75"/>
    </row>
    <row r="19" spans="2:13" ht="15">
      <c r="B19" s="98" t="s">
        <v>76</v>
      </c>
      <c r="C19" s="99"/>
      <c r="D19" s="99"/>
      <c r="E19" s="99"/>
      <c r="F19" s="46"/>
      <c r="K19" s="69"/>
      <c r="L19" s="70"/>
      <c r="M19" s="76"/>
    </row>
    <row r="20" spans="2:13" ht="14.25">
      <c r="B20" s="97" t="s">
        <v>77</v>
      </c>
      <c r="C20" s="88"/>
      <c r="D20" s="88"/>
      <c r="E20" s="88"/>
      <c r="F20" s="43"/>
      <c r="K20" s="67"/>
      <c r="L20" s="68"/>
      <c r="M20" s="75"/>
    </row>
    <row r="21" spans="2:13" ht="15">
      <c r="B21" s="98" t="s">
        <v>78</v>
      </c>
      <c r="C21" s="99"/>
      <c r="D21" s="99"/>
      <c r="E21" s="99"/>
      <c r="F21" s="46"/>
      <c r="K21" s="69"/>
      <c r="L21" s="70"/>
      <c r="M21" s="76"/>
    </row>
    <row r="22" spans="2:13" ht="14.25">
      <c r="B22" s="100" t="s">
        <v>79</v>
      </c>
      <c r="C22" s="101"/>
      <c r="D22" s="101"/>
      <c r="E22" s="101"/>
      <c r="F22" s="48"/>
      <c r="K22" s="72"/>
      <c r="L22" s="73"/>
      <c r="M22" s="77"/>
    </row>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499999996" bottom="0.78740157499999996" header="0.31496062000000002" footer="0.31496062000000002"/>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31"/>
  <sheetViews>
    <sheetView workbookViewId="0">
      <selection activeCell="H13" sqref="H13"/>
    </sheetView>
  </sheetViews>
  <sheetFormatPr defaultColWidth="9" defaultRowHeight="13.5"/>
  <cols>
    <col min="2" max="2" width="13.875" customWidth="1"/>
    <col min="7" max="7" width="8.375" customWidth="1"/>
  </cols>
  <sheetData>
    <row r="2" spans="2:8" ht="15">
      <c r="B2" s="39" t="s">
        <v>0</v>
      </c>
      <c r="C2" s="52" t="s">
        <v>80</v>
      </c>
      <c r="D2" s="52" t="s">
        <v>81</v>
      </c>
      <c r="E2" s="40" t="s">
        <v>82</v>
      </c>
      <c r="G2" s="102" t="s">
        <v>80</v>
      </c>
      <c r="H2" s="103"/>
    </row>
    <row r="3" spans="2:8" ht="14.25">
      <c r="B3" s="42" t="str">
        <f>Tabela1[[#This Row],[Perícia]]</f>
        <v>Acrobacia</v>
      </c>
      <c r="C3" s="31">
        <f>Tabela1[[#This Row],[Total]]</f>
        <v>8</v>
      </c>
      <c r="D3" s="31">
        <f ca="1">RANDBETWEEN(1,20)</f>
        <v>13</v>
      </c>
      <c r="E3" s="43">
        <f ca="1">SUM(C3:D3)</f>
        <v>21</v>
      </c>
      <c r="G3" s="47" t="s">
        <v>83</v>
      </c>
      <c r="H3" s="48">
        <f ca="1">VLOOKUP(G3,B2:E31,4,FALSE)</f>
        <v>17</v>
      </c>
    </row>
    <row r="4" spans="2:8" ht="15">
      <c r="B4" s="45" t="str">
        <f>Tabela1[[#This Row],[Perícia]]</f>
        <v>Adestramento</v>
      </c>
      <c r="C4" s="33">
        <f>Tabela1[[#This Row],[Total]]</f>
        <v>7</v>
      </c>
      <c r="D4" s="33">
        <f t="shared" ref="D4:D31" ca="1" si="0">RANDBETWEEN(1,20)</f>
        <v>2</v>
      </c>
      <c r="E4" s="46">
        <f t="shared" ref="E4:E31" ca="1" si="1">SUM(C4:D4)</f>
        <v>9</v>
      </c>
    </row>
    <row r="5" spans="2:8" ht="14.25">
      <c r="B5" s="42" t="str">
        <f>Tabela1[[#This Row],[Perícia]]</f>
        <v>Atletismo</v>
      </c>
      <c r="C5" s="31">
        <f>Tabela1[[#This Row],[Total]]</f>
        <v>8</v>
      </c>
      <c r="D5" s="31">
        <f t="shared" ca="1" si="0"/>
        <v>4</v>
      </c>
      <c r="E5" s="43">
        <f t="shared" ca="1" si="1"/>
        <v>12</v>
      </c>
    </row>
    <row r="6" spans="2:8" ht="15">
      <c r="B6" s="45" t="str">
        <f>Tabela1[[#This Row],[Perícia]]</f>
        <v>Atuação</v>
      </c>
      <c r="C6" s="33">
        <f>Tabela1[[#This Row],[Total]]</f>
        <v>7</v>
      </c>
      <c r="D6" s="33">
        <f t="shared" ca="1" si="0"/>
        <v>7</v>
      </c>
      <c r="E6" s="46">
        <f t="shared" ca="1" si="1"/>
        <v>14</v>
      </c>
    </row>
    <row r="7" spans="2:8" ht="14.25">
      <c r="B7" s="42" t="str">
        <f>Tabela1[[#This Row],[Perícia]]</f>
        <v>Cavalgar</v>
      </c>
      <c r="C7" s="31">
        <f>Tabela1[[#This Row],[Total]]</f>
        <v>8</v>
      </c>
      <c r="D7" s="31">
        <f t="shared" ca="1" si="0"/>
        <v>7</v>
      </c>
      <c r="E7" s="43">
        <f t="shared" ca="1" si="1"/>
        <v>15</v>
      </c>
    </row>
    <row r="8" spans="2:8" ht="15">
      <c r="B8" s="45" t="str">
        <f>Tabela1[[#This Row],[Perícia]]</f>
        <v>Conhecimento</v>
      </c>
      <c r="C8" s="33">
        <f>Tabela1[[#This Row],[Total]]</f>
        <v>14</v>
      </c>
      <c r="D8" s="33">
        <f t="shared" ca="1" si="0"/>
        <v>20</v>
      </c>
      <c r="E8" s="46">
        <f t="shared" ca="1" si="1"/>
        <v>34</v>
      </c>
    </row>
    <row r="9" spans="2:8" ht="14.25">
      <c r="B9" s="42" t="str">
        <f>Tabela1[[#This Row],[Perícia]]</f>
        <v>Cura</v>
      </c>
      <c r="C9" s="31">
        <f>Tabela1[[#This Row],[Total]]</f>
        <v>9</v>
      </c>
      <c r="D9" s="31">
        <f t="shared" ca="1" si="0"/>
        <v>18</v>
      </c>
      <c r="E9" s="43">
        <f t="shared" ca="1" si="1"/>
        <v>27</v>
      </c>
    </row>
    <row r="10" spans="2:8" ht="15">
      <c r="B10" s="45" t="str">
        <f>Tabela1[[#This Row],[Perícia]]</f>
        <v>Diplomacia</v>
      </c>
      <c r="C10" s="33">
        <f>Tabela1[[#This Row],[Total]]</f>
        <v>7</v>
      </c>
      <c r="D10" s="33">
        <f t="shared" ca="1" si="0"/>
        <v>10</v>
      </c>
      <c r="E10" s="46">
        <f t="shared" ca="1" si="1"/>
        <v>17</v>
      </c>
    </row>
    <row r="11" spans="2:8" ht="14.25">
      <c r="B11" s="42" t="str">
        <f>Tabela1[[#This Row],[Perícia]]</f>
        <v>Enganação</v>
      </c>
      <c r="C11" s="31">
        <f>Tabela1[[#This Row],[Total]]</f>
        <v>7</v>
      </c>
      <c r="D11" s="31">
        <f t="shared" ca="1" si="0"/>
        <v>16</v>
      </c>
      <c r="E11" s="43">
        <f t="shared" ca="1" si="1"/>
        <v>23</v>
      </c>
    </row>
    <row r="12" spans="2:8" ht="15">
      <c r="B12" s="45" t="str">
        <f>Tabela1[[#This Row],[Perícia]]</f>
        <v>Fortitude</v>
      </c>
      <c r="C12" s="33">
        <f>Tabela1[[#This Row],[Total]]</f>
        <v>6</v>
      </c>
      <c r="D12" s="33">
        <f t="shared" ca="1" si="0"/>
        <v>6</v>
      </c>
      <c r="E12" s="46">
        <f t="shared" ca="1" si="1"/>
        <v>12</v>
      </c>
    </row>
    <row r="13" spans="2:8" ht="14.25">
      <c r="B13" s="42" t="str">
        <f>Tabela1[[#This Row],[Perícia]]</f>
        <v>Furtividade</v>
      </c>
      <c r="C13" s="31">
        <f>Tabela1[[#This Row],[Total]]</f>
        <v>8</v>
      </c>
      <c r="D13" s="31">
        <f t="shared" ca="1" si="0"/>
        <v>20</v>
      </c>
      <c r="E13" s="43">
        <f t="shared" ca="1" si="1"/>
        <v>28</v>
      </c>
    </row>
    <row r="14" spans="2:8" ht="15">
      <c r="B14" s="45" t="str">
        <f>Tabela1[[#This Row],[Perícia]]</f>
        <v>Guerra</v>
      </c>
      <c r="C14" s="33">
        <f>Tabela1[[#This Row],[Total]]</f>
        <v>16</v>
      </c>
      <c r="D14" s="33">
        <f t="shared" ca="1" si="0"/>
        <v>6</v>
      </c>
      <c r="E14" s="46">
        <f t="shared" ca="1" si="1"/>
        <v>22</v>
      </c>
    </row>
    <row r="15" spans="2:8" ht="14.25">
      <c r="B15" s="42" t="str">
        <f>Tabela1[[#This Row],[Perícia]]</f>
        <v>Iniciativa</v>
      </c>
      <c r="C15" s="31">
        <f>Tabela1[[#This Row],[Total]]</f>
        <v>8</v>
      </c>
      <c r="D15" s="31">
        <f t="shared" ca="1" si="0"/>
        <v>12</v>
      </c>
      <c r="E15" s="43">
        <f t="shared" ca="1" si="1"/>
        <v>20</v>
      </c>
    </row>
    <row r="16" spans="2:8" ht="15">
      <c r="B16" s="45" t="str">
        <f>Tabela1[[#This Row],[Perícia]]</f>
        <v>Intimidação</v>
      </c>
      <c r="C16" s="33">
        <f>Tabela1[[#This Row],[Total]]</f>
        <v>7</v>
      </c>
      <c r="D16" s="33">
        <f t="shared" ca="1" si="0"/>
        <v>10</v>
      </c>
      <c r="E16" s="46">
        <f t="shared" ca="1" si="1"/>
        <v>17</v>
      </c>
    </row>
    <row r="17" spans="2:5" ht="14.25">
      <c r="B17" s="42" t="str">
        <f>Tabela1[[#This Row],[Perícia]]</f>
        <v>Intuição</v>
      </c>
      <c r="C17" s="31">
        <f>Tabela1[[#This Row],[Total]]</f>
        <v>9</v>
      </c>
      <c r="D17" s="31">
        <f t="shared" ca="1" si="0"/>
        <v>14</v>
      </c>
      <c r="E17" s="43">
        <f t="shared" ca="1" si="1"/>
        <v>23</v>
      </c>
    </row>
    <row r="18" spans="2:5" ht="15">
      <c r="B18" s="45" t="str">
        <f>Tabela1[[#This Row],[Perícia]]</f>
        <v>Investigação</v>
      </c>
      <c r="C18" s="33">
        <f>Tabela1[[#This Row],[Total]]</f>
        <v>14</v>
      </c>
      <c r="D18" s="33">
        <f t="shared" ca="1" si="0"/>
        <v>18</v>
      </c>
      <c r="E18" s="46">
        <f t="shared" ca="1" si="1"/>
        <v>32</v>
      </c>
    </row>
    <row r="19" spans="2:5" ht="14.25">
      <c r="B19" s="42" t="str">
        <f>Tabela1[[#This Row],[Perícia]]</f>
        <v>Jogatina</v>
      </c>
      <c r="C19" s="31">
        <f>Tabela1[[#This Row],[Total]]</f>
        <v>7</v>
      </c>
      <c r="D19" s="31">
        <f t="shared" ca="1" si="0"/>
        <v>7</v>
      </c>
      <c r="E19" s="43">
        <f t="shared" ca="1" si="1"/>
        <v>14</v>
      </c>
    </row>
    <row r="20" spans="2:5" ht="15">
      <c r="B20" s="45" t="str">
        <f>Tabela1[[#This Row],[Perícia]]</f>
        <v>Ladinagem</v>
      </c>
      <c r="C20" s="33">
        <f>Tabela1[[#This Row],[Total]]</f>
        <v>8</v>
      </c>
      <c r="D20" s="33">
        <f t="shared" ca="1" si="0"/>
        <v>15</v>
      </c>
      <c r="E20" s="46">
        <f t="shared" ca="1" si="1"/>
        <v>23</v>
      </c>
    </row>
    <row r="21" spans="2:5" ht="14.25">
      <c r="B21" s="42" t="str">
        <f>Tabela1[[#This Row],[Perícia]]</f>
        <v>Luta</v>
      </c>
      <c r="C21" s="31">
        <f>Tabela1[[#This Row],[Total]]</f>
        <v>12</v>
      </c>
      <c r="D21" s="31">
        <f t="shared" ca="1" si="0"/>
        <v>5</v>
      </c>
      <c r="E21" s="43">
        <f t="shared" ca="1" si="1"/>
        <v>17</v>
      </c>
    </row>
    <row r="22" spans="2:5" ht="15">
      <c r="B22" s="45" t="str">
        <f>Tabela1[[#This Row],[Perícia]]</f>
        <v>Misticismo</v>
      </c>
      <c r="C22" s="33">
        <f>Tabela1[[#This Row],[Total]]</f>
        <v>16</v>
      </c>
      <c r="D22" s="33">
        <f t="shared" ca="1" si="0"/>
        <v>13</v>
      </c>
      <c r="E22" s="46">
        <f t="shared" ca="1" si="1"/>
        <v>29</v>
      </c>
    </row>
    <row r="23" spans="2:5" ht="14.25">
      <c r="B23" s="42" t="str">
        <f>Tabela1[[#This Row],[Perícia]]</f>
        <v>Nobreza</v>
      </c>
      <c r="C23" s="31">
        <f>Tabela1[[#This Row],[Total]]</f>
        <v>10</v>
      </c>
      <c r="D23" s="31">
        <f t="shared" ca="1" si="0"/>
        <v>5</v>
      </c>
      <c r="E23" s="43">
        <f t="shared" ca="1" si="1"/>
        <v>15</v>
      </c>
    </row>
    <row r="24" spans="2:5" ht="30">
      <c r="B24" s="45" t="str">
        <f>Tabela1[[#This Row],[Perícia]]</f>
        <v>Ofício (Alquimista)</v>
      </c>
      <c r="C24" s="33">
        <f>Tabela1[[#This Row],[Total]]</f>
        <v>14</v>
      </c>
      <c r="D24" s="33">
        <f t="shared" ca="1" si="0"/>
        <v>3</v>
      </c>
      <c r="E24" s="46">
        <f t="shared" ca="1" si="1"/>
        <v>17</v>
      </c>
    </row>
    <row r="25" spans="2:5" ht="14.25">
      <c r="B25" s="42" t="str">
        <f>Tabela1[[#This Row],[Perícia]]</f>
        <v>Ofício (Armeiro)</v>
      </c>
      <c r="C25" s="31">
        <f>Tabela1[[#This Row],[Total]]</f>
        <v>14</v>
      </c>
      <c r="D25" s="31">
        <f t="shared" ca="1" si="0"/>
        <v>14</v>
      </c>
      <c r="E25" s="43">
        <f t="shared" ca="1" si="1"/>
        <v>28</v>
      </c>
    </row>
    <row r="26" spans="2:5" ht="30">
      <c r="B26" s="45" t="str">
        <f>Tabela1[[#This Row],[Perícia]]</f>
        <v>Ofício (Engenhoqueiro)</v>
      </c>
      <c r="C26" s="33">
        <f>Tabela1[[#This Row],[Total]]</f>
        <v>14</v>
      </c>
      <c r="D26" s="33">
        <f t="shared" ca="1" si="0"/>
        <v>18</v>
      </c>
      <c r="E26" s="46">
        <f t="shared" ca="1" si="1"/>
        <v>32</v>
      </c>
    </row>
    <row r="27" spans="2:5" ht="14.25">
      <c r="B27" s="42" t="str">
        <f>Tabela1[[#This Row],[Perícia]]</f>
        <v>Percepção</v>
      </c>
      <c r="C27" s="31">
        <f>Tabela1[[#This Row],[Total]]</f>
        <v>15</v>
      </c>
      <c r="D27" s="31">
        <f t="shared" ca="1" si="0"/>
        <v>16</v>
      </c>
      <c r="E27" s="43">
        <f t="shared" ca="1" si="1"/>
        <v>31</v>
      </c>
    </row>
    <row r="28" spans="2:5" ht="15">
      <c r="B28" s="45" t="str">
        <f>Tabela1[[#This Row],[Perícia]]</f>
        <v>Pilotagem</v>
      </c>
      <c r="C28" s="33">
        <f>Tabela1[[#This Row],[Total]]</f>
        <v>8</v>
      </c>
      <c r="D28" s="33">
        <f t="shared" ca="1" si="0"/>
        <v>11</v>
      </c>
      <c r="E28" s="46">
        <f t="shared" ca="1" si="1"/>
        <v>19</v>
      </c>
    </row>
    <row r="29" spans="2:5" ht="14.25">
      <c r="B29" s="42" t="str">
        <f>Tabela1[[#This Row],[Perícia]]</f>
        <v>Pontaria</v>
      </c>
      <c r="C29" s="31">
        <f>Tabela1[[#This Row],[Total]]</f>
        <v>12</v>
      </c>
      <c r="D29" s="31">
        <f t="shared" ca="1" si="0"/>
        <v>20</v>
      </c>
      <c r="E29" s="43">
        <f t="shared" ca="1" si="1"/>
        <v>32</v>
      </c>
    </row>
    <row r="30" spans="2:5" ht="15">
      <c r="B30" s="45" t="str">
        <f>Tabela1[[#This Row],[Perícia]]</f>
        <v>Reflexos</v>
      </c>
      <c r="C30" s="33">
        <f>Tabela1[[#This Row],[Total]]</f>
        <v>12</v>
      </c>
      <c r="D30" s="33">
        <f t="shared" ca="1" si="0"/>
        <v>17</v>
      </c>
      <c r="E30" s="46">
        <f t="shared" ca="1" si="1"/>
        <v>29</v>
      </c>
    </row>
    <row r="31" spans="2:5" ht="14.25">
      <c r="B31" s="47" t="str">
        <f>Tabela1[[#This Row],[Perícia]]</f>
        <v>Religião</v>
      </c>
      <c r="C31" s="53">
        <f>Tabela1[[#This Row],[Total]]</f>
        <v>13</v>
      </c>
      <c r="D31" s="53">
        <f t="shared" ca="1" si="0"/>
        <v>7</v>
      </c>
      <c r="E31" s="48">
        <f t="shared" ca="1" si="1"/>
        <v>20</v>
      </c>
    </row>
  </sheetData>
  <mergeCells count="1">
    <mergeCell ref="G2:H2"/>
  </mergeCells>
  <dataValidations count="1">
    <dataValidation type="list" allowBlank="1" showInputMessage="1" showErrorMessage="1" sqref="G3" xr:uid="{00000000-0002-0000-0200-000000000000}">
      <formula1>$B$2:$B$31</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H35"/>
  <sheetViews>
    <sheetView workbookViewId="0">
      <selection activeCell="I20" sqref="I20"/>
    </sheetView>
  </sheetViews>
  <sheetFormatPr defaultColWidth="9" defaultRowHeight="13.5"/>
  <cols>
    <col min="2" max="2" width="23.25" customWidth="1"/>
    <col min="3" max="3" width="15.375" customWidth="1"/>
    <col min="4" max="4" width="11.875" customWidth="1"/>
    <col min="5" max="5" width="10.625" customWidth="1"/>
  </cols>
  <sheetData>
    <row r="2" spans="1:8" ht="15">
      <c r="B2" s="28" t="s">
        <v>84</v>
      </c>
      <c r="C2" s="28" t="s">
        <v>36</v>
      </c>
      <c r="D2" s="29" t="s">
        <v>85</v>
      </c>
      <c r="E2" s="64" t="s">
        <v>86</v>
      </c>
      <c r="G2" s="81" t="s">
        <v>87</v>
      </c>
      <c r="H2" s="83"/>
    </row>
    <row r="3" spans="1:8" ht="14.25">
      <c r="A3">
        <v>1</v>
      </c>
      <c r="B3" s="62" t="s">
        <v>88</v>
      </c>
      <c r="C3" s="62" t="s">
        <v>89</v>
      </c>
      <c r="D3" s="31">
        <v>1</v>
      </c>
      <c r="E3" s="41">
        <f t="shared" ref="E3:E35" si="0">IFERROR(VLOOKUP(D3,$G$3:$H$7,2,FALSE)^2*10,"")</f>
        <v>10</v>
      </c>
      <c r="G3" s="42">
        <v>1</v>
      </c>
      <c r="H3" s="43">
        <v>1</v>
      </c>
    </row>
    <row r="4" spans="1:8" ht="15">
      <c r="A4">
        <v>1</v>
      </c>
      <c r="B4" s="34" t="s">
        <v>90</v>
      </c>
      <c r="C4" s="32" t="s">
        <v>89</v>
      </c>
      <c r="D4" s="33">
        <v>1</v>
      </c>
      <c r="E4" s="44">
        <f t="shared" si="0"/>
        <v>10</v>
      </c>
      <c r="G4" s="45">
        <v>2</v>
      </c>
      <c r="H4" s="46">
        <v>3</v>
      </c>
    </row>
    <row r="5" spans="1:8" ht="14.25">
      <c r="A5">
        <v>1</v>
      </c>
      <c r="B5" s="62" t="s">
        <v>91</v>
      </c>
      <c r="C5" s="30" t="s">
        <v>92</v>
      </c>
      <c r="D5" s="31">
        <v>1</v>
      </c>
      <c r="E5" s="41">
        <f t="shared" si="0"/>
        <v>10</v>
      </c>
      <c r="G5" s="42">
        <v>3</v>
      </c>
      <c r="H5" s="43">
        <v>6</v>
      </c>
    </row>
    <row r="6" spans="1:8" ht="15">
      <c r="A6">
        <v>2</v>
      </c>
      <c r="B6" s="34" t="s">
        <v>93</v>
      </c>
      <c r="C6" s="32" t="s">
        <v>92</v>
      </c>
      <c r="D6" s="33">
        <v>1</v>
      </c>
      <c r="E6" s="44">
        <f t="shared" si="0"/>
        <v>10</v>
      </c>
      <c r="G6" s="45">
        <v>4</v>
      </c>
      <c r="H6" s="46">
        <v>10</v>
      </c>
    </row>
    <row r="7" spans="1:8" ht="14.25">
      <c r="A7">
        <v>3</v>
      </c>
      <c r="B7" s="62" t="s">
        <v>94</v>
      </c>
      <c r="C7" s="30" t="s">
        <v>92</v>
      </c>
      <c r="D7" s="31">
        <v>1</v>
      </c>
      <c r="E7" s="41">
        <f t="shared" si="0"/>
        <v>10</v>
      </c>
      <c r="G7" s="47">
        <v>5</v>
      </c>
      <c r="H7" s="48">
        <v>15</v>
      </c>
    </row>
    <row r="8" spans="1:8" ht="15">
      <c r="A8">
        <v>4</v>
      </c>
      <c r="B8" s="34" t="s">
        <v>95</v>
      </c>
      <c r="C8" s="32" t="s">
        <v>92</v>
      </c>
      <c r="D8" s="33">
        <v>1</v>
      </c>
      <c r="E8" s="44">
        <f t="shared" si="0"/>
        <v>10</v>
      </c>
    </row>
    <row r="9" spans="1:8" ht="14.25">
      <c r="A9">
        <v>5</v>
      </c>
      <c r="B9" s="62" t="s">
        <v>96</v>
      </c>
      <c r="C9" s="30" t="s">
        <v>92</v>
      </c>
      <c r="D9" s="31">
        <v>1</v>
      </c>
      <c r="E9" s="41">
        <f t="shared" si="0"/>
        <v>10</v>
      </c>
    </row>
    <row r="10" spans="1:8" ht="15">
      <c r="A10">
        <v>6</v>
      </c>
      <c r="B10" s="34" t="s">
        <v>97</v>
      </c>
      <c r="C10" s="32" t="s">
        <v>89</v>
      </c>
      <c r="D10" s="33">
        <v>1</v>
      </c>
      <c r="E10" s="44">
        <f t="shared" si="0"/>
        <v>10</v>
      </c>
    </row>
    <row r="11" spans="1:8" ht="14.25">
      <c r="A11">
        <v>7</v>
      </c>
      <c r="B11" s="62" t="s">
        <v>98</v>
      </c>
      <c r="C11" s="30" t="s">
        <v>92</v>
      </c>
      <c r="D11" s="31">
        <v>2</v>
      </c>
      <c r="E11" s="41">
        <f t="shared" si="0"/>
        <v>90</v>
      </c>
    </row>
    <row r="12" spans="1:8" ht="15">
      <c r="A12">
        <v>8</v>
      </c>
      <c r="B12" s="34" t="s">
        <v>99</v>
      </c>
      <c r="C12" s="32" t="s">
        <v>92</v>
      </c>
      <c r="D12" s="33">
        <v>1</v>
      </c>
      <c r="E12" s="44">
        <f t="shared" si="0"/>
        <v>10</v>
      </c>
    </row>
    <row r="13" spans="1:8" ht="14.25">
      <c r="A13">
        <v>9</v>
      </c>
      <c r="B13" s="62" t="s">
        <v>100</v>
      </c>
      <c r="C13" s="30" t="s">
        <v>89</v>
      </c>
      <c r="D13" s="31">
        <v>2</v>
      </c>
      <c r="E13" s="41">
        <f t="shared" si="0"/>
        <v>90</v>
      </c>
    </row>
    <row r="14" spans="1:8" ht="15">
      <c r="A14">
        <v>10</v>
      </c>
      <c r="B14" s="34" t="s">
        <v>101</v>
      </c>
      <c r="C14" s="32" t="s">
        <v>89</v>
      </c>
      <c r="D14" s="33">
        <v>2</v>
      </c>
      <c r="E14" s="44">
        <f t="shared" si="0"/>
        <v>90</v>
      </c>
    </row>
    <row r="15" spans="1:8" ht="14.25">
      <c r="A15">
        <v>10</v>
      </c>
      <c r="B15" s="62" t="s">
        <v>102</v>
      </c>
      <c r="C15" s="30" t="s">
        <v>103</v>
      </c>
      <c r="D15" s="31">
        <v>2</v>
      </c>
      <c r="E15" s="41">
        <f t="shared" si="0"/>
        <v>90</v>
      </c>
    </row>
    <row r="16" spans="1:8" ht="15">
      <c r="B16" s="34" t="s">
        <v>104</v>
      </c>
      <c r="C16" s="32" t="s">
        <v>92</v>
      </c>
      <c r="D16" s="33">
        <v>3</v>
      </c>
      <c r="E16" s="44">
        <f t="shared" si="0"/>
        <v>360</v>
      </c>
    </row>
    <row r="17" spans="2:5" ht="14.25">
      <c r="B17" s="62"/>
      <c r="C17" s="30"/>
      <c r="D17" s="31"/>
      <c r="E17" s="41" t="str">
        <f t="shared" si="0"/>
        <v/>
      </c>
    </row>
    <row r="18" spans="2:5" ht="15">
      <c r="B18" s="34"/>
      <c r="C18" s="32"/>
      <c r="D18" s="33"/>
      <c r="E18" s="44" t="str">
        <f t="shared" si="0"/>
        <v/>
      </c>
    </row>
    <row r="19" spans="2:5" ht="14.25">
      <c r="B19" s="62"/>
      <c r="C19" s="30"/>
      <c r="D19" s="31"/>
      <c r="E19" s="41" t="str">
        <f t="shared" si="0"/>
        <v/>
      </c>
    </row>
    <row r="20" spans="2:5" ht="15">
      <c r="B20" s="34"/>
      <c r="C20" s="32"/>
      <c r="D20" s="33"/>
      <c r="E20" s="44" t="str">
        <f t="shared" si="0"/>
        <v/>
      </c>
    </row>
    <row r="21" spans="2:5" ht="14.25">
      <c r="B21" s="62"/>
      <c r="C21" s="30"/>
      <c r="D21" s="31"/>
      <c r="E21" s="41" t="str">
        <f t="shared" si="0"/>
        <v/>
      </c>
    </row>
    <row r="22" spans="2:5" ht="15">
      <c r="B22" s="34"/>
      <c r="C22" s="32"/>
      <c r="D22" s="33"/>
      <c r="E22" s="44" t="str">
        <f t="shared" si="0"/>
        <v/>
      </c>
    </row>
    <row r="23" spans="2:5" ht="14.25">
      <c r="B23" s="62"/>
      <c r="C23" s="30"/>
      <c r="D23" s="31"/>
      <c r="E23" s="41" t="str">
        <f t="shared" si="0"/>
        <v/>
      </c>
    </row>
    <row r="24" spans="2:5" ht="15">
      <c r="B24" s="34"/>
      <c r="C24" s="32"/>
      <c r="D24" s="33"/>
      <c r="E24" s="44" t="str">
        <f t="shared" si="0"/>
        <v/>
      </c>
    </row>
    <row r="25" spans="2:5" ht="14.25">
      <c r="B25" s="62"/>
      <c r="C25" s="30"/>
      <c r="D25" s="31"/>
      <c r="E25" s="41" t="str">
        <f t="shared" si="0"/>
        <v/>
      </c>
    </row>
    <row r="26" spans="2:5" ht="15">
      <c r="B26" s="34"/>
      <c r="C26" s="34"/>
      <c r="D26" s="33"/>
      <c r="E26" s="44" t="str">
        <f t="shared" si="0"/>
        <v/>
      </c>
    </row>
    <row r="27" spans="2:5" ht="14.25">
      <c r="B27" s="62"/>
      <c r="C27" s="30"/>
      <c r="D27" s="31"/>
      <c r="E27" s="41" t="str">
        <f t="shared" si="0"/>
        <v/>
      </c>
    </row>
    <row r="28" spans="2:5" ht="15">
      <c r="B28" s="34"/>
      <c r="C28" s="32"/>
      <c r="D28" s="33"/>
      <c r="E28" s="44" t="str">
        <f t="shared" si="0"/>
        <v/>
      </c>
    </row>
    <row r="29" spans="2:5" ht="14.25">
      <c r="B29" s="62"/>
      <c r="C29" s="30"/>
      <c r="D29" s="31"/>
      <c r="E29" s="41" t="str">
        <f t="shared" si="0"/>
        <v/>
      </c>
    </row>
    <row r="30" spans="2:5" ht="15">
      <c r="B30" s="34"/>
      <c r="C30" s="32"/>
      <c r="D30" s="33"/>
      <c r="E30" s="44" t="str">
        <f t="shared" si="0"/>
        <v/>
      </c>
    </row>
    <row r="31" spans="2:5" ht="14.25">
      <c r="B31" s="62"/>
      <c r="C31" s="30"/>
      <c r="D31" s="31"/>
      <c r="E31" s="41" t="str">
        <f t="shared" si="0"/>
        <v/>
      </c>
    </row>
    <row r="32" spans="2:5" ht="15">
      <c r="B32" s="34"/>
      <c r="C32" s="32"/>
      <c r="D32" s="33"/>
      <c r="E32" s="44" t="str">
        <f t="shared" si="0"/>
        <v/>
      </c>
    </row>
    <row r="33" spans="2:5" ht="14.25">
      <c r="B33" s="62"/>
      <c r="C33" s="30"/>
      <c r="D33" s="31"/>
      <c r="E33" s="41" t="str">
        <f t="shared" si="0"/>
        <v/>
      </c>
    </row>
    <row r="34" spans="2:5" ht="15">
      <c r="B34" s="34"/>
      <c r="C34" s="32"/>
      <c r="D34" s="33"/>
      <c r="E34" s="44" t="str">
        <f t="shared" si="0"/>
        <v/>
      </c>
    </row>
    <row r="35" spans="2:5" ht="14.25">
      <c r="B35" s="63"/>
      <c r="C35" s="35"/>
      <c r="D35" s="36"/>
      <c r="E35" s="51" t="str">
        <f t="shared" si="0"/>
        <v/>
      </c>
    </row>
  </sheetData>
  <mergeCells count="1">
    <mergeCell ref="G2:H2"/>
  </mergeCells>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I25"/>
  <sheetViews>
    <sheetView workbookViewId="0">
      <selection activeCell="H18" sqref="H18"/>
    </sheetView>
  </sheetViews>
  <sheetFormatPr defaultColWidth="9" defaultRowHeight="13.5"/>
  <cols>
    <col min="2" max="2" width="27.625" customWidth="1"/>
    <col min="4" max="4" width="21.375" customWidth="1"/>
  </cols>
  <sheetData>
    <row r="2" spans="2:9" ht="15">
      <c r="B2" s="81" t="s">
        <v>105</v>
      </c>
      <c r="C2" s="82"/>
      <c r="D2" s="82"/>
      <c r="E2" s="111"/>
      <c r="F2" s="83"/>
    </row>
    <row r="3" spans="2:9" ht="14.25">
      <c r="B3" s="42" t="s">
        <v>23</v>
      </c>
      <c r="C3" s="31" t="s">
        <v>24</v>
      </c>
      <c r="D3" s="31" t="s">
        <v>25</v>
      </c>
      <c r="E3" s="41" t="s">
        <v>106</v>
      </c>
      <c r="F3" s="43" t="s">
        <v>107</v>
      </c>
    </row>
    <row r="4" spans="2:9" ht="15">
      <c r="B4" s="45" t="s">
        <v>29</v>
      </c>
      <c r="C4" s="33">
        <v>2</v>
      </c>
      <c r="D4" s="33">
        <v>0</v>
      </c>
      <c r="E4" s="44">
        <v>20</v>
      </c>
      <c r="F4" s="46">
        <v>7</v>
      </c>
    </row>
    <row r="5" spans="2:9" ht="14.25">
      <c r="B5" s="47"/>
      <c r="C5" s="53"/>
      <c r="D5" s="53"/>
      <c r="E5" s="59"/>
      <c r="F5" s="48"/>
    </row>
    <row r="7" spans="2:9" ht="15">
      <c r="B7" s="102" t="s">
        <v>108</v>
      </c>
      <c r="C7" s="112"/>
      <c r="D7" s="112"/>
      <c r="E7" s="112"/>
      <c r="F7" s="112"/>
      <c r="G7" s="112"/>
      <c r="H7" s="103"/>
    </row>
    <row r="8" spans="2:9" ht="14.25">
      <c r="B8" s="42" t="s">
        <v>23</v>
      </c>
      <c r="C8" s="31" t="s">
        <v>26</v>
      </c>
      <c r="D8" s="31" t="s">
        <v>109</v>
      </c>
      <c r="E8" s="31" t="s">
        <v>27</v>
      </c>
      <c r="F8" s="41" t="s">
        <v>107</v>
      </c>
      <c r="G8" s="41" t="s">
        <v>36</v>
      </c>
      <c r="H8" s="43" t="s">
        <v>28</v>
      </c>
    </row>
    <row r="9" spans="2:9" ht="15">
      <c r="B9" s="45" t="s">
        <v>110</v>
      </c>
      <c r="C9" s="33" t="s">
        <v>111</v>
      </c>
      <c r="D9" s="33"/>
      <c r="E9" s="33"/>
      <c r="F9" s="44"/>
      <c r="G9" s="44" t="s">
        <v>112</v>
      </c>
      <c r="H9" s="46" t="s">
        <v>113</v>
      </c>
    </row>
    <row r="10" spans="2:9" ht="14.25">
      <c r="B10" s="42" t="s">
        <v>30</v>
      </c>
      <c r="C10" s="31" t="s">
        <v>114</v>
      </c>
      <c r="D10" s="31" t="s">
        <v>115</v>
      </c>
      <c r="E10" s="31"/>
      <c r="F10" s="41">
        <v>6</v>
      </c>
      <c r="G10" s="41" t="s">
        <v>112</v>
      </c>
      <c r="H10" s="43" t="s">
        <v>116</v>
      </c>
    </row>
    <row r="11" spans="2:9" ht="15">
      <c r="B11" s="45"/>
      <c r="C11" s="33"/>
      <c r="D11" s="33"/>
      <c r="E11" s="33"/>
      <c r="F11" s="44"/>
      <c r="G11" s="44"/>
      <c r="H11" s="46"/>
    </row>
    <row r="12" spans="2:9" ht="14.25">
      <c r="B12" s="42"/>
      <c r="C12" s="31"/>
      <c r="D12" s="31"/>
      <c r="E12" s="31"/>
      <c r="F12" s="41"/>
      <c r="G12" s="41"/>
      <c r="H12" s="43"/>
    </row>
    <row r="13" spans="2:9" ht="15">
      <c r="B13" s="49"/>
      <c r="C13" s="54"/>
      <c r="D13" s="54"/>
      <c r="E13" s="54"/>
      <c r="F13" s="60"/>
      <c r="G13" s="60"/>
      <c r="H13" s="50"/>
    </row>
    <row r="15" spans="2:9" ht="15">
      <c r="B15" s="81" t="s">
        <v>117</v>
      </c>
      <c r="C15" s="82"/>
      <c r="D15" s="82"/>
      <c r="E15" s="82"/>
      <c r="F15" s="82"/>
      <c r="G15" s="82"/>
      <c r="H15" s="82"/>
      <c r="I15" s="83"/>
    </row>
    <row r="16" spans="2:9" ht="14.25">
      <c r="B16" s="55" t="s">
        <v>23</v>
      </c>
      <c r="C16" s="113" t="s">
        <v>24</v>
      </c>
      <c r="D16" s="113"/>
      <c r="E16" s="56" t="s">
        <v>118</v>
      </c>
      <c r="F16" s="56" t="s">
        <v>119</v>
      </c>
      <c r="G16" s="56" t="s">
        <v>107</v>
      </c>
      <c r="H16" s="56" t="s">
        <v>120</v>
      </c>
      <c r="I16" s="61" t="s">
        <v>106</v>
      </c>
    </row>
    <row r="17" spans="2:9" ht="15">
      <c r="B17" s="5" t="s">
        <v>121</v>
      </c>
      <c r="C17" s="114" t="s">
        <v>122</v>
      </c>
      <c r="D17" s="107"/>
      <c r="E17" s="33">
        <v>1</v>
      </c>
      <c r="F17" s="33">
        <v>0.1</v>
      </c>
      <c r="G17" s="33">
        <f>PRODUCT(E17:F17)</f>
        <v>0.1</v>
      </c>
      <c r="H17" s="33"/>
      <c r="I17" s="46">
        <f>PRODUCT(H17,E17)</f>
        <v>1</v>
      </c>
    </row>
    <row r="18" spans="2:9" ht="14.25">
      <c r="B18" s="42" t="s">
        <v>123</v>
      </c>
      <c r="C18" s="106"/>
      <c r="D18" s="106"/>
      <c r="E18" s="31">
        <v>3</v>
      </c>
      <c r="F18" s="31">
        <v>0.1</v>
      </c>
      <c r="G18" s="31">
        <f t="shared" ref="G18:G21" si="0">PRODUCT(E18:F18)</f>
        <v>0.30000000000000004</v>
      </c>
      <c r="H18" s="31"/>
      <c r="I18" s="43">
        <f t="shared" ref="I18:I21" si="1">PRODUCT(H18,E18)</f>
        <v>3</v>
      </c>
    </row>
    <row r="19" spans="2:9" ht="15">
      <c r="B19" s="45"/>
      <c r="C19" s="107"/>
      <c r="D19" s="107"/>
      <c r="E19" s="33"/>
      <c r="F19" s="33"/>
      <c r="G19" s="33">
        <f t="shared" si="0"/>
        <v>0</v>
      </c>
      <c r="H19" s="33"/>
      <c r="I19" s="46">
        <f t="shared" si="1"/>
        <v>0</v>
      </c>
    </row>
    <row r="20" spans="2:9" ht="14.25">
      <c r="B20" s="42"/>
      <c r="C20" s="106"/>
      <c r="D20" s="106"/>
      <c r="E20" s="31"/>
      <c r="F20" s="31"/>
      <c r="G20" s="31">
        <f t="shared" si="0"/>
        <v>0</v>
      </c>
      <c r="H20" s="31"/>
      <c r="I20" s="43">
        <f t="shared" si="1"/>
        <v>0</v>
      </c>
    </row>
    <row r="21" spans="2:9" ht="15">
      <c r="B21" s="49"/>
      <c r="C21" s="108"/>
      <c r="D21" s="108"/>
      <c r="E21" s="54"/>
      <c r="F21" s="54"/>
      <c r="G21" s="54">
        <f t="shared" si="0"/>
        <v>0</v>
      </c>
      <c r="H21" s="54"/>
      <c r="I21" s="50">
        <f t="shared" si="1"/>
        <v>0</v>
      </c>
    </row>
    <row r="23" spans="2:9" ht="15">
      <c r="B23" s="1" t="s">
        <v>124</v>
      </c>
      <c r="C23" s="57">
        <f>SUM(G17:G21,F9:F13,F4:F5)</f>
        <v>13.4</v>
      </c>
      <c r="D23" s="2">
        <f>Ligma!C3*3</f>
        <v>48</v>
      </c>
    </row>
    <row r="24" spans="2:9" ht="14.25">
      <c r="B24" s="58" t="s">
        <v>125</v>
      </c>
      <c r="C24" s="109">
        <f>Ligma!C3*10</f>
        <v>160</v>
      </c>
      <c r="D24" s="110"/>
    </row>
    <row r="25" spans="2:9" ht="15">
      <c r="B25" s="7" t="s">
        <v>126</v>
      </c>
      <c r="C25" s="104" t="str">
        <f>IF(C23&gt;D23,"Sobrecarga","Sem Penalidade")</f>
        <v>Sem Penalidade</v>
      </c>
      <c r="D25" s="105"/>
    </row>
  </sheetData>
  <mergeCells count="11">
    <mergeCell ref="B2:F2"/>
    <mergeCell ref="B7:H7"/>
    <mergeCell ref="B15:I15"/>
    <mergeCell ref="C16:D16"/>
    <mergeCell ref="C17:D17"/>
    <mergeCell ref="C25:D25"/>
    <mergeCell ref="C18:D18"/>
    <mergeCell ref="C19:D19"/>
    <mergeCell ref="C20:D20"/>
    <mergeCell ref="C21:D21"/>
    <mergeCell ref="C24:D24"/>
  </mergeCells>
  <pageMargins left="0.511811024" right="0.511811024" top="0.78740157499999996" bottom="0.78740157499999996" header="0.31496062000000002" footer="0.31496062000000002"/>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P33"/>
  <sheetViews>
    <sheetView workbookViewId="0">
      <selection activeCell="J27" sqref="J27"/>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2" spans="2:16" ht="15" customHeight="1">
      <c r="B2" s="28" t="s">
        <v>127</v>
      </c>
      <c r="C2" s="29" t="s">
        <v>128</v>
      </c>
      <c r="D2" s="29" t="s">
        <v>1</v>
      </c>
      <c r="E2" s="29" t="s">
        <v>129</v>
      </c>
      <c r="F2" s="29" t="s">
        <v>130</v>
      </c>
      <c r="G2" s="29" t="s">
        <v>41</v>
      </c>
      <c r="H2" s="29" t="s">
        <v>24</v>
      </c>
      <c r="I2" s="29" t="s">
        <v>131</v>
      </c>
      <c r="J2" s="29" t="s">
        <v>82</v>
      </c>
      <c r="K2" s="37" t="s">
        <v>132</v>
      </c>
      <c r="L2" s="37" t="s">
        <v>133</v>
      </c>
      <c r="M2" s="38" t="s">
        <v>134</v>
      </c>
      <c r="O2" s="81" t="s">
        <v>135</v>
      </c>
      <c r="P2" s="83"/>
    </row>
    <row r="3" spans="2:16" ht="14.25">
      <c r="B3" s="30" t="s">
        <v>136</v>
      </c>
      <c r="C3" s="31" t="s">
        <v>137</v>
      </c>
      <c r="D3" s="31">
        <f>VLOOKUP(C3,Ligma!$B$3:$D$8,3,FALSE)</f>
        <v>3</v>
      </c>
      <c r="E3" s="31">
        <f>ROUNDDOWN(Ligma!$G$2/2,0)</f>
        <v>5</v>
      </c>
      <c r="F3" s="31" t="str">
        <f>IF(Tabela1[[#This Row],[Treinada?]]="sim",VLOOKUP(Ligma!$G$2,'uns dados aí'!$E$2:$F$4,2,TRUE),"")</f>
        <v/>
      </c>
      <c r="G3" s="31"/>
      <c r="H3" s="31"/>
      <c r="I3" s="31"/>
      <c r="J3" s="31">
        <f>SUM(Tabela1[[#This Row],[MOD]:[Bônus Habilidade]])-IF(Tabela1[[#This Row],[Penalidade de Armadura?]]="sim",Ligma!$D$16,0)</f>
        <v>8</v>
      </c>
      <c r="K3" s="31" t="s">
        <v>138</v>
      </c>
      <c r="L3" s="31" t="s">
        <v>139</v>
      </c>
      <c r="M3" s="41" t="s">
        <v>140</v>
      </c>
      <c r="O3" s="42" t="s">
        <v>34</v>
      </c>
      <c r="P3" s="43">
        <v>2</v>
      </c>
    </row>
    <row r="4" spans="2:16" ht="15">
      <c r="B4" s="32" t="s">
        <v>141</v>
      </c>
      <c r="C4" s="33" t="s">
        <v>142</v>
      </c>
      <c r="D4" s="33">
        <f>VLOOKUP(C4,Ligma!$B$3:$D$8,3,FALSE)</f>
        <v>2</v>
      </c>
      <c r="E4" s="33">
        <f>ROUNDDOWN(Ligma!$G$2/2,0)</f>
        <v>5</v>
      </c>
      <c r="F4" s="33" t="str">
        <f>IF(Tabela1[[#This Row],[Treinada?]]="sim",VLOOKUP(Ligma!$G$2,'uns dados aí'!$E$2:$F$4,2,TRUE),"")</f>
        <v/>
      </c>
      <c r="G4" s="33"/>
      <c r="H4" s="33"/>
      <c r="I4" s="33"/>
      <c r="J4" s="33">
        <f>SUM(Tabela1[[#This Row],[MOD]:[Bônus Habilidade]])-IF(Tabela1[[#This Row],[Penalidade de Armadura?]]="sim",Ligma!$D$16,0)</f>
        <v>7</v>
      </c>
      <c r="K4" s="33" t="s">
        <v>138</v>
      </c>
      <c r="L4" s="33" t="s">
        <v>140</v>
      </c>
      <c r="M4" s="44" t="s">
        <v>139</v>
      </c>
      <c r="O4" s="45" t="s">
        <v>60</v>
      </c>
      <c r="P4" s="46">
        <v>4</v>
      </c>
    </row>
    <row r="5" spans="2:16" ht="14.25">
      <c r="B5" s="30" t="s">
        <v>143</v>
      </c>
      <c r="C5" s="31" t="s">
        <v>144</v>
      </c>
      <c r="D5" s="31">
        <f>VLOOKUP(C5,Ligma!$B$3:$D$8,3,FALSE)</f>
        <v>3</v>
      </c>
      <c r="E5" s="31">
        <f>ROUNDDOWN(Ligma!$G$2/2,0)</f>
        <v>5</v>
      </c>
      <c r="F5" s="31" t="str">
        <f>IF(Tabela1[[#This Row],[Treinada?]]="sim",VLOOKUP(Ligma!$G$2,'uns dados aí'!$E$2:$F$4,2,TRUE),"")</f>
        <v/>
      </c>
      <c r="G5" s="31"/>
      <c r="H5" s="31"/>
      <c r="I5" s="31"/>
      <c r="J5" s="31">
        <f>SUM(Tabela1[[#This Row],[MOD]:[Bônus Habilidade]])-IF(Tabela1[[#This Row],[Penalidade de Armadura?]]="sim",Ligma!$D$16,0)</f>
        <v>8</v>
      </c>
      <c r="K5" s="31" t="s">
        <v>138</v>
      </c>
      <c r="L5" s="31" t="s">
        <v>139</v>
      </c>
      <c r="M5" s="41" t="s">
        <v>139</v>
      </c>
      <c r="O5" s="47" t="s">
        <v>74</v>
      </c>
      <c r="P5" s="48">
        <v>6</v>
      </c>
    </row>
    <row r="6" spans="2:16" ht="15">
      <c r="B6" s="32" t="s">
        <v>145</v>
      </c>
      <c r="C6" s="33" t="s">
        <v>142</v>
      </c>
      <c r="D6" s="33">
        <f>VLOOKUP(C6,Ligma!$B$3:$D$8,3,FALSE)</f>
        <v>2</v>
      </c>
      <c r="E6" s="33">
        <f>ROUNDDOWN(Ligma!$G$2/2,0)</f>
        <v>5</v>
      </c>
      <c r="F6" s="33" t="str">
        <f>IF(Tabela1[[#This Row],[Treinada?]]="sim",VLOOKUP(Ligma!$G$2,'uns dados aí'!$E$2:$F$4,2,TRUE),"")</f>
        <v/>
      </c>
      <c r="G6" s="33"/>
      <c r="H6" s="33"/>
      <c r="I6" s="33"/>
      <c r="J6" s="33">
        <f>SUM(Tabela1[[#This Row],[MOD]:[Bônus Habilidade]])-IF(Tabela1[[#This Row],[Penalidade de Armadura?]]="sim",Ligma!$D$16,0)</f>
        <v>7</v>
      </c>
      <c r="K6" s="33" t="s">
        <v>138</v>
      </c>
      <c r="L6" s="33" t="s">
        <v>139</v>
      </c>
      <c r="M6" s="44" t="s">
        <v>139</v>
      </c>
    </row>
    <row r="7" spans="2:16" ht="15.75" customHeight="1">
      <c r="B7" s="30" t="s">
        <v>146</v>
      </c>
      <c r="C7" s="31" t="s">
        <v>137</v>
      </c>
      <c r="D7" s="31">
        <f>VLOOKUP(C7,Ligma!$B$3:$D$8,3,FALSE)</f>
        <v>3</v>
      </c>
      <c r="E7" s="31">
        <f>ROUNDDOWN(Ligma!$G$2/2,0)</f>
        <v>5</v>
      </c>
      <c r="F7" s="31" t="str">
        <f>IF(Tabela1[[#This Row],[Treinada?]]="sim",VLOOKUP(Ligma!$G$2,'uns dados aí'!$E$2:$F$4,2,TRUE),"")</f>
        <v/>
      </c>
      <c r="G7" s="31"/>
      <c r="H7" s="31"/>
      <c r="I7" s="31"/>
      <c r="J7" s="31">
        <f>SUM(Tabela1[[#This Row],[MOD]:[Bônus Habilidade]])-IF(Tabela1[[#This Row],[Penalidade de Armadura?]]="sim",Ligma!$D$16,0)</f>
        <v>8</v>
      </c>
      <c r="K7" s="31" t="s">
        <v>138</v>
      </c>
      <c r="L7" s="31" t="s">
        <v>139</v>
      </c>
      <c r="M7" s="41" t="s">
        <v>139</v>
      </c>
      <c r="O7" s="81" t="s">
        <v>147</v>
      </c>
      <c r="P7" s="83"/>
    </row>
    <row r="8" spans="2:16" ht="15" customHeight="1">
      <c r="B8" s="32" t="s">
        <v>148</v>
      </c>
      <c r="C8" s="33" t="s">
        <v>149</v>
      </c>
      <c r="D8" s="33">
        <f>VLOOKUP(C8,Ligma!$B$3:$D$8,3,FALSE)</f>
        <v>5</v>
      </c>
      <c r="E8" s="33">
        <f>ROUNDDOWN(Ligma!$G$2/2,0)</f>
        <v>5</v>
      </c>
      <c r="F8" s="33">
        <f>IF(Tabela1[[#This Row],[Treinada?]]="sim",VLOOKUP(Ligma!$G$2,'uns dados aí'!$E$2:$F$4,2,TRUE),"")</f>
        <v>4</v>
      </c>
      <c r="G8" s="33"/>
      <c r="H8" s="33"/>
      <c r="I8" s="33"/>
      <c r="J8" s="33">
        <f>SUM(Tabela1[[#This Row],[MOD]:[Bônus Habilidade]])-IF(Tabela1[[#This Row],[Penalidade de Armadura?]]="sim",Ligma!$D$16,0)</f>
        <v>14</v>
      </c>
      <c r="K8" s="33" t="s">
        <v>140</v>
      </c>
      <c r="L8" s="33" t="s">
        <v>140</v>
      </c>
      <c r="M8" s="44" t="s">
        <v>139</v>
      </c>
      <c r="O8" s="42" t="s">
        <v>4</v>
      </c>
      <c r="P8" s="43">
        <f>VLOOKUP(O8,'uns dados aí'!$B$16:$E$22,4,FALSE)</f>
        <v>0</v>
      </c>
    </row>
    <row r="9" spans="2:16" ht="15">
      <c r="B9" s="30" t="s">
        <v>150</v>
      </c>
      <c r="C9" s="31" t="s">
        <v>151</v>
      </c>
      <c r="D9" s="31">
        <f>VLOOKUP(C9,Ligma!$B$3:$D$8,3,FALSE)</f>
        <v>4</v>
      </c>
      <c r="E9" s="31">
        <f>ROUNDDOWN(Ligma!$G$2/2,0)</f>
        <v>5</v>
      </c>
      <c r="F9" s="31" t="str">
        <f>IF(Tabela1[[#This Row],[Treinada?]]="sim",VLOOKUP(Ligma!$G$2,'uns dados aí'!$E$2:$F$4,2,TRUE),"")</f>
        <v/>
      </c>
      <c r="G9" s="31"/>
      <c r="H9" s="31"/>
      <c r="I9" s="31"/>
      <c r="J9" s="31">
        <f>SUM(Tabela1[[#This Row],[MOD]:[Bônus Habilidade]])-IF(Tabela1[[#This Row],[Penalidade de Armadura?]]="sim",Ligma!$D$16,0)</f>
        <v>9</v>
      </c>
      <c r="K9" s="31" t="s">
        <v>138</v>
      </c>
      <c r="L9" s="31" t="s">
        <v>139</v>
      </c>
      <c r="M9" s="41" t="s">
        <v>139</v>
      </c>
      <c r="O9" s="45" t="s">
        <v>9</v>
      </c>
      <c r="P9" s="46">
        <f>VLOOKUP(O9,'uns dados aí'!$B$16:$E$22,4,FALSE)</f>
        <v>2</v>
      </c>
    </row>
    <row r="10" spans="2:16" ht="15">
      <c r="B10" s="32" t="s">
        <v>152</v>
      </c>
      <c r="C10" s="33" t="s">
        <v>142</v>
      </c>
      <c r="D10" s="33">
        <f>VLOOKUP(C10,Ligma!$B$3:$D$8,3,FALSE)</f>
        <v>2</v>
      </c>
      <c r="E10" s="33">
        <f>ROUNDDOWN(Ligma!$G$2/2,0)</f>
        <v>5</v>
      </c>
      <c r="F10" s="33" t="str">
        <f>IF(Tabela1[[#This Row],[Treinada?]]="sim",VLOOKUP(Ligma!$G$2,'uns dados aí'!$E$2:$F$4,2,TRUE),"")</f>
        <v/>
      </c>
      <c r="G10" s="33"/>
      <c r="H10" s="33"/>
      <c r="I10" s="33"/>
      <c r="J10" s="33">
        <f>SUM(Tabela1[[#This Row],[MOD]:[Bônus Habilidade]])-IF(Tabela1[[#This Row],[Penalidade de Armadura?]]="sim",Ligma!$D$16,0)</f>
        <v>7</v>
      </c>
      <c r="K10" s="33" t="s">
        <v>138</v>
      </c>
      <c r="L10" s="33" t="s">
        <v>139</v>
      </c>
      <c r="M10" s="44" t="s">
        <v>139</v>
      </c>
      <c r="O10" s="42" t="s">
        <v>10</v>
      </c>
      <c r="P10" s="43">
        <f>VLOOKUP(O10,'uns dados aí'!$B$16:$E$22,4,FALSE)</f>
        <v>-2</v>
      </c>
    </row>
    <row r="11" spans="2:16" ht="15">
      <c r="B11" s="30" t="s">
        <v>153</v>
      </c>
      <c r="C11" s="31" t="s">
        <v>142</v>
      </c>
      <c r="D11" s="31">
        <f>VLOOKUP(C11,Ligma!$B$3:$D$8,3,FALSE)</f>
        <v>2</v>
      </c>
      <c r="E11" s="31">
        <f>ROUNDDOWN(Ligma!$G$2/2,0)</f>
        <v>5</v>
      </c>
      <c r="F11" s="31" t="str">
        <f>IF(Tabela1[[#This Row],[Treinada?]]="sim",VLOOKUP(Ligma!$G$2,'uns dados aí'!$E$2:$F$4,2,TRUE),"")</f>
        <v/>
      </c>
      <c r="G11" s="31"/>
      <c r="H11" s="31"/>
      <c r="I11" s="31"/>
      <c r="J11" s="31">
        <f>SUM(Tabela1[[#This Row],[MOD]:[Bônus Habilidade]])-IF(Tabela1[[#This Row],[Penalidade de Armadura?]]="sim",Ligma!$D$16,0)</f>
        <v>7</v>
      </c>
      <c r="K11" s="31" t="s">
        <v>138</v>
      </c>
      <c r="L11" s="31" t="s">
        <v>139</v>
      </c>
      <c r="M11" s="41" t="s">
        <v>139</v>
      </c>
      <c r="O11" s="45" t="s">
        <v>12</v>
      </c>
      <c r="P11" s="46">
        <f>VLOOKUP(O11,'uns dados aí'!$B$16:$E$22,4,FALSE)</f>
        <v>4</v>
      </c>
    </row>
    <row r="12" spans="2:16" ht="15">
      <c r="B12" s="32" t="s">
        <v>154</v>
      </c>
      <c r="C12" s="33" t="s">
        <v>155</v>
      </c>
      <c r="D12" s="33">
        <f>VLOOKUP(C12,Ligma!$B$3:$D$8,3,FALSE)</f>
        <v>1</v>
      </c>
      <c r="E12" s="33">
        <f>ROUNDDOWN(Ligma!$G$2/2,0)</f>
        <v>5</v>
      </c>
      <c r="F12" s="33" t="str">
        <f>IF(Tabela1[[#This Row],[Treinada?]]="sim",VLOOKUP(Ligma!$G$2,'uns dados aí'!$E$2:$F$4,2,TRUE),"")</f>
        <v/>
      </c>
      <c r="G12" s="33"/>
      <c r="H12" s="33"/>
      <c r="I12" s="33"/>
      <c r="J12" s="33">
        <f>SUM(Tabela1[[#This Row],[MOD]:[Bônus Habilidade]])-IF(Tabela1[[#This Row],[Penalidade de Armadura?]]="sim",Ligma!$D$16,0)</f>
        <v>6</v>
      </c>
      <c r="K12" s="33" t="s">
        <v>138</v>
      </c>
      <c r="L12" s="33" t="s">
        <v>139</v>
      </c>
      <c r="M12" s="44" t="s">
        <v>139</v>
      </c>
      <c r="O12" s="42" t="s">
        <v>14</v>
      </c>
      <c r="P12" s="43">
        <f>VLOOKUP(O12,'uns dados aí'!$B$16:$E$22,4,FALSE)</f>
        <v>2</v>
      </c>
    </row>
    <row r="13" spans="2:16" ht="15">
      <c r="B13" s="30" t="s">
        <v>156</v>
      </c>
      <c r="C13" s="31" t="s">
        <v>137</v>
      </c>
      <c r="D13" s="31">
        <f>VLOOKUP(C13,Ligma!$B$3:$D$8,3,FALSE)</f>
        <v>3</v>
      </c>
      <c r="E13" s="31">
        <f>ROUNDDOWN(Ligma!$G$2/2,0)</f>
        <v>5</v>
      </c>
      <c r="F13" s="31" t="str">
        <f>IF(Tabela1[[#This Row],[Treinada?]]="sim",VLOOKUP(Ligma!$G$2,'uns dados aí'!$E$2:$F$4,2,TRUE),"")</f>
        <v/>
      </c>
      <c r="G13" s="31"/>
      <c r="H13" s="31"/>
      <c r="I13" s="31"/>
      <c r="J13" s="31">
        <f>SUM(Tabela1[[#This Row],[MOD]:[Bônus Habilidade]])-IF(Tabela1[[#This Row],[Penalidade de Armadura?]]="sim",Ligma!$D$16,0)</f>
        <v>8</v>
      </c>
      <c r="K13" s="31" t="s">
        <v>138</v>
      </c>
      <c r="L13" s="31" t="s">
        <v>139</v>
      </c>
      <c r="M13" s="41" t="s">
        <v>140</v>
      </c>
      <c r="O13" s="49" t="s">
        <v>16</v>
      </c>
      <c r="P13" s="50">
        <f>VLOOKUP(O13,'uns dados aí'!$B$16:$E$22,4,FALSE)</f>
        <v>0</v>
      </c>
    </row>
    <row r="14" spans="2:16" ht="15">
      <c r="B14" s="32" t="s">
        <v>157</v>
      </c>
      <c r="C14" s="33" t="s">
        <v>149</v>
      </c>
      <c r="D14" s="33">
        <f>VLOOKUP(C14,Ligma!$B$3:$D$8,3,FALSE)</f>
        <v>5</v>
      </c>
      <c r="E14" s="33">
        <f>ROUNDDOWN(Ligma!$G$2/2,0)</f>
        <v>5</v>
      </c>
      <c r="F14" s="33">
        <f>IF(Tabela1[[#This Row],[Treinada?]]="sim",VLOOKUP(Ligma!$G$2,'uns dados aí'!$E$2:$F$4,2,TRUE),"")</f>
        <v>4</v>
      </c>
      <c r="G14" s="33"/>
      <c r="H14" s="33">
        <v>2</v>
      </c>
      <c r="I14" s="33"/>
      <c r="J14" s="33">
        <f>SUM(Tabela1[[#This Row],[MOD]:[Bônus Habilidade]])-IF(Tabela1[[#This Row],[Penalidade de Armadura?]]="sim",Ligma!$D$16,0)</f>
        <v>16</v>
      </c>
      <c r="K14" s="33" t="s">
        <v>140</v>
      </c>
      <c r="L14" s="33" t="s">
        <v>140</v>
      </c>
      <c r="M14" s="44" t="s">
        <v>139</v>
      </c>
    </row>
    <row r="15" spans="2:16" ht="14.25">
      <c r="B15" s="30" t="s">
        <v>158</v>
      </c>
      <c r="C15" s="31" t="s">
        <v>137</v>
      </c>
      <c r="D15" s="31">
        <f>VLOOKUP(C15,Ligma!$B$3:$D$8,3,FALSE)</f>
        <v>3</v>
      </c>
      <c r="E15" s="31">
        <f>ROUNDDOWN(Ligma!$G$2/2,0)</f>
        <v>5</v>
      </c>
      <c r="F15" s="31" t="str">
        <f>IF(Tabela1[[#This Row],[Treinada?]]="sim",VLOOKUP(Ligma!$G$2,'uns dados aí'!$E$2:$F$4,2,TRUE),"")</f>
        <v/>
      </c>
      <c r="G15" s="31"/>
      <c r="H15" s="31"/>
      <c r="I15" s="31"/>
      <c r="J15" s="31">
        <f>SUM(Tabela1[[#This Row],[MOD]:[Bônus Habilidade]])-IF(Tabela1[[#This Row],[Penalidade de Armadura?]]="sim",Ligma!$D$16,0)</f>
        <v>8</v>
      </c>
      <c r="K15" s="31" t="s">
        <v>138</v>
      </c>
      <c r="L15" s="31" t="s">
        <v>139</v>
      </c>
      <c r="M15" s="41" t="s">
        <v>139</v>
      </c>
    </row>
    <row r="16" spans="2:16" ht="15">
      <c r="B16" s="32" t="s">
        <v>159</v>
      </c>
      <c r="C16" s="33" t="s">
        <v>142</v>
      </c>
      <c r="D16" s="33">
        <f>VLOOKUP(C16,Ligma!$B$3:$D$8,3,FALSE)</f>
        <v>2</v>
      </c>
      <c r="E16" s="33">
        <f>ROUNDDOWN(Ligma!$G$2/2,0)</f>
        <v>5</v>
      </c>
      <c r="F16" s="33" t="str">
        <f>IF(Tabela1[[#This Row],[Treinada?]]="sim",VLOOKUP(Ligma!$G$2,'uns dados aí'!$E$2:$F$4,2,TRUE),"")</f>
        <v/>
      </c>
      <c r="G16" s="33"/>
      <c r="H16" s="33"/>
      <c r="I16" s="33"/>
      <c r="J16" s="33">
        <f>SUM(Tabela1[[#This Row],[MOD]:[Bônus Habilidade]])-IF(Tabela1[[#This Row],[Penalidade de Armadura?]]="sim",Ligma!$D$16,0)</f>
        <v>7</v>
      </c>
      <c r="K16" s="33" t="s">
        <v>138</v>
      </c>
      <c r="L16" s="33" t="s">
        <v>139</v>
      </c>
      <c r="M16" s="44" t="s">
        <v>139</v>
      </c>
    </row>
    <row r="17" spans="2:13" ht="14.25">
      <c r="B17" s="30" t="s">
        <v>160</v>
      </c>
      <c r="C17" s="31" t="s">
        <v>151</v>
      </c>
      <c r="D17" s="31">
        <f>VLOOKUP(C17,Ligma!$B$3:$D$8,3,FALSE)</f>
        <v>4</v>
      </c>
      <c r="E17" s="31">
        <f>ROUNDDOWN(Ligma!$G$2/2,0)</f>
        <v>5</v>
      </c>
      <c r="F17" s="31" t="str">
        <f>IF(Tabela1[[#This Row],[Treinada?]]="sim",VLOOKUP(Ligma!$G$2,'uns dados aí'!$E$2:$F$4,2,TRUE),"")</f>
        <v/>
      </c>
      <c r="G17" s="31"/>
      <c r="H17" s="31"/>
      <c r="I17" s="31"/>
      <c r="J17" s="31">
        <f>SUM(Tabela1[[#This Row],[MOD]:[Bônus Habilidade]])-IF(Tabela1[[#This Row],[Penalidade de Armadura?]]="sim",Ligma!$D$16,0)</f>
        <v>9</v>
      </c>
      <c r="K17" s="31" t="s">
        <v>138</v>
      </c>
      <c r="L17" s="31" t="s">
        <v>139</v>
      </c>
      <c r="M17" s="41" t="s">
        <v>139</v>
      </c>
    </row>
    <row r="18" spans="2:13" ht="15">
      <c r="B18" s="32" t="s">
        <v>161</v>
      </c>
      <c r="C18" s="33" t="s">
        <v>149</v>
      </c>
      <c r="D18" s="33">
        <f>VLOOKUP(C18,Ligma!$B$3:$D$8,3,FALSE)</f>
        <v>5</v>
      </c>
      <c r="E18" s="33">
        <f>ROUNDDOWN(Ligma!$G$2/2,0)</f>
        <v>5</v>
      </c>
      <c r="F18" s="33">
        <f>IF(Tabela1[[#This Row],[Treinada?]]="sim",VLOOKUP(Ligma!$G$2,'uns dados aí'!$E$2:$F$4,2,TRUE),"")</f>
        <v>4</v>
      </c>
      <c r="G18" s="33"/>
      <c r="H18" s="33"/>
      <c r="I18" s="33"/>
      <c r="J18" s="33">
        <f>SUM(Tabela1[[#This Row],[MOD]:[Bônus Habilidade]])-IF(Tabela1[[#This Row],[Penalidade de Armadura?]]="sim",Ligma!$D$16,0)</f>
        <v>14</v>
      </c>
      <c r="K18" s="33" t="s">
        <v>140</v>
      </c>
      <c r="L18" s="33" t="s">
        <v>139</v>
      </c>
      <c r="M18" s="44" t="s">
        <v>139</v>
      </c>
    </row>
    <row r="19" spans="2:13" ht="14.25">
      <c r="B19" s="30" t="s">
        <v>162</v>
      </c>
      <c r="C19" s="31" t="s">
        <v>142</v>
      </c>
      <c r="D19" s="31">
        <f>VLOOKUP(C19,Ligma!$B$3:$D$8,3,FALSE)</f>
        <v>2</v>
      </c>
      <c r="E19" s="31">
        <f>ROUNDDOWN(Ligma!$G$2/2,0)</f>
        <v>5</v>
      </c>
      <c r="F19" s="31" t="str">
        <f>IF(Tabela1[[#This Row],[Treinada?]]="sim",VLOOKUP(Ligma!$G$2,'uns dados aí'!$E$2:$F$4,2,TRUE),"")</f>
        <v/>
      </c>
      <c r="G19" s="31"/>
      <c r="H19" s="31"/>
      <c r="I19" s="31"/>
      <c r="J19" s="31">
        <f>SUM(Tabela1[[#This Row],[MOD]:[Bônus Habilidade]])-IF(Tabela1[[#This Row],[Penalidade de Armadura?]]="sim",Ligma!$D$16,0)</f>
        <v>7</v>
      </c>
      <c r="K19" s="31" t="s">
        <v>138</v>
      </c>
      <c r="L19" s="31" t="s">
        <v>140</v>
      </c>
      <c r="M19" s="41" t="s">
        <v>139</v>
      </c>
    </row>
    <row r="20" spans="2:13" ht="15">
      <c r="B20" s="32" t="s">
        <v>163</v>
      </c>
      <c r="C20" s="33" t="s">
        <v>137</v>
      </c>
      <c r="D20" s="33">
        <f>VLOOKUP(C20,Ligma!$B$3:$D$8,3,FALSE)</f>
        <v>3</v>
      </c>
      <c r="E20" s="33">
        <f>ROUNDDOWN(Ligma!$G$2/2,0)</f>
        <v>5</v>
      </c>
      <c r="F20" s="33" t="str">
        <f>IF(Tabela1[[#This Row],[Treinada?]]="sim",VLOOKUP(Ligma!$G$2,'uns dados aí'!$E$2:$F$4,2,TRUE),"")</f>
        <v/>
      </c>
      <c r="G20" s="33"/>
      <c r="H20" s="33"/>
      <c r="I20" s="33"/>
      <c r="J20" s="33">
        <f>SUM(Tabela1[[#This Row],[MOD]:[Bônus Habilidade]])-IF(Tabela1[[#This Row],[Penalidade de Armadura?]]="sim",Ligma!$D$16,0)</f>
        <v>8</v>
      </c>
      <c r="K20" s="33" t="s">
        <v>138</v>
      </c>
      <c r="L20" s="33" t="s">
        <v>140</v>
      </c>
      <c r="M20" s="44" t="s">
        <v>140</v>
      </c>
    </row>
    <row r="21" spans="2:13" ht="14.25">
      <c r="B21" s="30" t="s">
        <v>83</v>
      </c>
      <c r="C21" s="31" t="s">
        <v>144</v>
      </c>
      <c r="D21" s="31">
        <f>VLOOKUP(C21,Ligma!$B$3:$D$8,3,FALSE)</f>
        <v>3</v>
      </c>
      <c r="E21" s="31">
        <f>ROUNDDOWN(Ligma!$G$2/2,0)</f>
        <v>5</v>
      </c>
      <c r="F21" s="31">
        <f>IF(Tabela1[[#This Row],[Treinada?]]="sim",VLOOKUP(Ligma!$G$2,'uns dados aí'!$E$2:$F$4,2,TRUE),"")</f>
        <v>4</v>
      </c>
      <c r="G21" s="31"/>
      <c r="H21" s="31"/>
      <c r="I21" s="31"/>
      <c r="J21" s="31">
        <f>SUM(Tabela1[[#This Row],[MOD]:[Bônus Habilidade]])-IF(Tabela1[[#This Row],[Penalidade de Armadura?]]="sim",Ligma!$D$16,0)</f>
        <v>12</v>
      </c>
      <c r="K21" s="31" t="s">
        <v>140</v>
      </c>
      <c r="L21" s="31" t="s">
        <v>139</v>
      </c>
      <c r="M21" s="41" t="s">
        <v>139</v>
      </c>
    </row>
    <row r="22" spans="2:13" ht="15">
      <c r="B22" s="32" t="s">
        <v>164</v>
      </c>
      <c r="C22" s="33" t="s">
        <v>149</v>
      </c>
      <c r="D22" s="33">
        <f>VLOOKUP(C22,Ligma!$B$3:$D$8,3,FALSE)</f>
        <v>5</v>
      </c>
      <c r="E22" s="33">
        <f>ROUNDDOWN(Ligma!$G$2/2,0)</f>
        <v>5</v>
      </c>
      <c r="F22" s="33">
        <f>IF(Tabela1[[#This Row],[Treinada?]]="sim",VLOOKUP(Ligma!$G$2,'uns dados aí'!$E$2:$F$4,2,TRUE),"")</f>
        <v>4</v>
      </c>
      <c r="G22" s="33">
        <v>2</v>
      </c>
      <c r="H22" s="33"/>
      <c r="I22" s="33"/>
      <c r="J22" s="33">
        <f>SUM(Tabela1[[#This Row],[MOD]:[Bônus Habilidade]])-IF(Tabela1[[#This Row],[Penalidade de Armadura?]]="sim",Ligma!$D$16,0)</f>
        <v>16</v>
      </c>
      <c r="K22" s="33" t="s">
        <v>140</v>
      </c>
      <c r="L22" s="33" t="s">
        <v>140</v>
      </c>
      <c r="M22" s="44" t="s">
        <v>139</v>
      </c>
    </row>
    <row r="23" spans="2:13" ht="14.25">
      <c r="B23" s="30" t="s">
        <v>165</v>
      </c>
      <c r="C23" s="31" t="s">
        <v>149</v>
      </c>
      <c r="D23" s="31">
        <f>VLOOKUP(C23,Ligma!$B$3:$D$8,3,FALSE)</f>
        <v>5</v>
      </c>
      <c r="E23" s="31">
        <f>ROUNDDOWN(Ligma!$G$2/2,0)</f>
        <v>5</v>
      </c>
      <c r="F23" s="31" t="str">
        <f>IF(Tabela1[[#This Row],[Treinada?]]="sim",VLOOKUP(Ligma!$G$2,'uns dados aí'!$E$2:$F$4,2,TRUE),"")</f>
        <v/>
      </c>
      <c r="G23" s="31"/>
      <c r="H23" s="31"/>
      <c r="I23" s="31"/>
      <c r="J23" s="31">
        <f>SUM(Tabela1[[#This Row],[MOD]:[Bônus Habilidade]])-IF(Tabela1[[#This Row],[Penalidade de Armadura?]]="sim",Ligma!$D$16,0)</f>
        <v>10</v>
      </c>
      <c r="K23" s="31" t="s">
        <v>138</v>
      </c>
      <c r="L23" s="31" t="s">
        <v>140</v>
      </c>
      <c r="M23" s="41" t="s">
        <v>139</v>
      </c>
    </row>
    <row r="24" spans="2:13" ht="15">
      <c r="B24" s="32" t="s">
        <v>166</v>
      </c>
      <c r="C24" s="33" t="s">
        <v>149</v>
      </c>
      <c r="D24" s="33">
        <f>VLOOKUP(C24,Ligma!$B$3:$D$8,3,FALSE)</f>
        <v>5</v>
      </c>
      <c r="E24" s="33">
        <f>ROUNDDOWN(Ligma!$G$2/2,0)</f>
        <v>5</v>
      </c>
      <c r="F24" s="33">
        <f>IF(Tabela1[[#This Row],[Treinada?]]="sim",VLOOKUP(Ligma!$G$2,'uns dados aí'!$E$2:$F$4,2,TRUE),"")</f>
        <v>4</v>
      </c>
      <c r="G24" s="33"/>
      <c r="H24" s="33"/>
      <c r="I24" s="33"/>
      <c r="J24" s="33">
        <f>SUM(Tabela1[[#This Row],[MOD]:[Bônus Habilidade]])-IF(Tabela1[[#This Row],[Penalidade de Armadura?]]="sim",Ligma!$D$16,0)</f>
        <v>14</v>
      </c>
      <c r="K24" s="33" t="s">
        <v>140</v>
      </c>
      <c r="L24" s="33" t="s">
        <v>140</v>
      </c>
      <c r="M24" s="44" t="s">
        <v>139</v>
      </c>
    </row>
    <row r="25" spans="2:13" ht="14.25">
      <c r="B25" s="30" t="s">
        <v>167</v>
      </c>
      <c r="C25" s="31" t="s">
        <v>149</v>
      </c>
      <c r="D25" s="31">
        <f>VLOOKUP(C25,Ligma!$B$3:$D$8,3,FALSE)</f>
        <v>5</v>
      </c>
      <c r="E25" s="31">
        <f>ROUNDDOWN(Ligma!$G$2/2,0)</f>
        <v>5</v>
      </c>
      <c r="F25" s="31">
        <f>IF(Tabela1[[#This Row],[Treinada?]]="sim",VLOOKUP(Ligma!$G$2,'uns dados aí'!$E$2:$F$4,2,TRUE),"")</f>
        <v>4</v>
      </c>
      <c r="G25" s="31"/>
      <c r="H25" s="31"/>
      <c r="I25" s="31"/>
      <c r="J25" s="31">
        <f>SUM(Tabela1[[#This Row],[MOD]:[Bônus Habilidade]])-IF(Tabela1[[#This Row],[Penalidade de Armadura?]]="sim",Ligma!$D$16,0)</f>
        <v>14</v>
      </c>
      <c r="K25" s="31" t="s">
        <v>140</v>
      </c>
      <c r="L25" s="31" t="s">
        <v>140</v>
      </c>
      <c r="M25" s="41" t="s">
        <v>139</v>
      </c>
    </row>
    <row r="26" spans="2:13" ht="15">
      <c r="B26" s="34" t="s">
        <v>168</v>
      </c>
      <c r="C26" s="33" t="s">
        <v>149</v>
      </c>
      <c r="D26" s="33">
        <f>VLOOKUP(C26,Ligma!$B$3:$D$8,3,FALSE)</f>
        <v>5</v>
      </c>
      <c r="E26" s="33">
        <f>ROUNDDOWN(Ligma!$G$2/2,0)</f>
        <v>5</v>
      </c>
      <c r="F26" s="33">
        <f>IF(Tabela1[[#This Row],[Treinada?]]="sim",VLOOKUP(Ligma!$G$2,'uns dados aí'!$E$2:$F$4,2,TRUE),"")</f>
        <v>4</v>
      </c>
      <c r="G26" s="33"/>
      <c r="H26" s="33"/>
      <c r="I26" s="33"/>
      <c r="J26" s="33">
        <f>SUM(Tabela1[[#This Row],[MOD]:[Bônus Habilidade]])-IF(Tabela1[[#This Row],[Penalidade de Armadura?]]="sim",Ligma!$D$16,0)</f>
        <v>14</v>
      </c>
      <c r="K26" s="33" t="s">
        <v>140</v>
      </c>
      <c r="L26" s="33" t="s">
        <v>140</v>
      </c>
      <c r="M26" s="44" t="s">
        <v>139</v>
      </c>
    </row>
    <row r="27" spans="2:13" ht="14.25">
      <c r="B27" s="30" t="s">
        <v>169</v>
      </c>
      <c r="C27" s="31" t="s">
        <v>151</v>
      </c>
      <c r="D27" s="31">
        <f>VLOOKUP(C27,Ligma!$B$3:$D$8,3,FALSE)</f>
        <v>4</v>
      </c>
      <c r="E27" s="31">
        <f>ROUNDDOWN(Ligma!$G$2/2,0)</f>
        <v>5</v>
      </c>
      <c r="F27" s="31">
        <f>IF(Tabela1[[#This Row],[Treinada?]]="sim",VLOOKUP(Ligma!$G$2,'uns dados aí'!$E$2:$F$4,2,TRUE),"")</f>
        <v>4</v>
      </c>
      <c r="G27" s="31">
        <v>2</v>
      </c>
      <c r="H27" s="31"/>
      <c r="I27" s="31"/>
      <c r="J27" s="31">
        <f>SUM(Tabela1[[#This Row],[MOD]:[Bônus Habilidade]])-IF(Tabela1[[#This Row],[Penalidade de Armadura?]]="sim",Ligma!$D$16,0)</f>
        <v>15</v>
      </c>
      <c r="K27" s="31" t="s">
        <v>140</v>
      </c>
      <c r="L27" s="31" t="s">
        <v>139</v>
      </c>
      <c r="M27" s="41" t="s">
        <v>139</v>
      </c>
    </row>
    <row r="28" spans="2:13" ht="15">
      <c r="B28" s="32" t="s">
        <v>170</v>
      </c>
      <c r="C28" s="33" t="s">
        <v>137</v>
      </c>
      <c r="D28" s="33">
        <f>VLOOKUP(C28,Ligma!$B$3:$D$8,3,FALSE)</f>
        <v>3</v>
      </c>
      <c r="E28" s="33">
        <f>ROUNDDOWN(Ligma!$G$2/2,0)</f>
        <v>5</v>
      </c>
      <c r="F28" s="33" t="str">
        <f>IF(Tabela1[[#This Row],[Treinada?]]="sim",VLOOKUP(Ligma!$G$2,'uns dados aí'!$E$2:$F$4,2,TRUE),"")</f>
        <v/>
      </c>
      <c r="G28" s="33"/>
      <c r="H28" s="33"/>
      <c r="I28" s="33"/>
      <c r="J28" s="33">
        <f>SUM(Tabela1[[#This Row],[MOD]:[Bônus Habilidade]])-IF(Tabela1[[#This Row],[Penalidade de Armadura?]]="sim",Ligma!$D$16,0)</f>
        <v>8</v>
      </c>
      <c r="K28" s="33" t="s">
        <v>138</v>
      </c>
      <c r="L28" s="33" t="s">
        <v>140</v>
      </c>
      <c r="M28" s="44" t="s">
        <v>139</v>
      </c>
    </row>
    <row r="29" spans="2:13" ht="14.25">
      <c r="B29" s="30" t="s">
        <v>171</v>
      </c>
      <c r="C29" s="31" t="s">
        <v>137</v>
      </c>
      <c r="D29" s="31">
        <f>VLOOKUP(C29,Ligma!$B$3:$D$8,3,FALSE)</f>
        <v>3</v>
      </c>
      <c r="E29" s="31">
        <f>ROUNDDOWN(Ligma!$G$2/2,0)</f>
        <v>5</v>
      </c>
      <c r="F29" s="31">
        <f>IF(Tabela1[[#This Row],[Treinada?]]="sim",VLOOKUP(Ligma!$G$2,'uns dados aí'!$E$2:$F$4,2,TRUE),"")</f>
        <v>4</v>
      </c>
      <c r="G29" s="31"/>
      <c r="H29" s="31"/>
      <c r="I29" s="31"/>
      <c r="J29" s="31">
        <f>SUM(Tabela1[[#This Row],[MOD]:[Bônus Habilidade]])-IF(Tabela1[[#This Row],[Penalidade de Armadura?]]="sim",Ligma!$D$16,0)</f>
        <v>12</v>
      </c>
      <c r="K29" s="31" t="s">
        <v>140</v>
      </c>
      <c r="L29" s="31" t="s">
        <v>139</v>
      </c>
      <c r="M29" s="41" t="s">
        <v>139</v>
      </c>
    </row>
    <row r="30" spans="2:13" ht="15">
      <c r="B30" s="32" t="s">
        <v>172</v>
      </c>
      <c r="C30" s="33" t="s">
        <v>137</v>
      </c>
      <c r="D30" s="33">
        <f>VLOOKUP(C30,Ligma!$B$3:$D$8,3,FALSE)</f>
        <v>3</v>
      </c>
      <c r="E30" s="33">
        <f>ROUNDDOWN(Ligma!$G$2/2,0)</f>
        <v>5</v>
      </c>
      <c r="F30" s="33">
        <f>IF(Tabela1[[#This Row],[Treinada?]]="sim",VLOOKUP(Ligma!$G$2,'uns dados aí'!$E$2:$F$4,2,TRUE),"")</f>
        <v>4</v>
      </c>
      <c r="G30" s="33"/>
      <c r="H30" s="33"/>
      <c r="I30" s="33"/>
      <c r="J30" s="33">
        <f>SUM(Tabela1[[#This Row],[MOD]:[Bônus Habilidade]])-IF(Tabela1[[#This Row],[Penalidade de Armadura?]]="sim",Ligma!$D$16,0)</f>
        <v>12</v>
      </c>
      <c r="K30" s="33" t="s">
        <v>140</v>
      </c>
      <c r="L30" s="33" t="s">
        <v>139</v>
      </c>
      <c r="M30" s="44" t="s">
        <v>139</v>
      </c>
    </row>
    <row r="31" spans="2:13" ht="14.25">
      <c r="B31" s="30" t="s">
        <v>173</v>
      </c>
      <c r="C31" s="31" t="s">
        <v>151</v>
      </c>
      <c r="D31" s="31">
        <f>VLOOKUP(C31,Ligma!$B$3:$D$8,3,FALSE)</f>
        <v>4</v>
      </c>
      <c r="E31" s="31">
        <f>ROUNDDOWN(Ligma!$G$2/2,0)</f>
        <v>5</v>
      </c>
      <c r="F31" s="31">
        <f>IF(Tabela1[[#This Row],[Treinada?]]="sim",VLOOKUP(Ligma!$G$2,'uns dados aí'!$E$2:$F$4,2,TRUE),"")</f>
        <v>4</v>
      </c>
      <c r="G31" s="31"/>
      <c r="H31" s="31"/>
      <c r="I31" s="31"/>
      <c r="J31" s="31">
        <f>SUM(Tabela1[[#This Row],[MOD]:[Bônus Habilidade]])-IF(Tabela1[[#This Row],[Penalidade de Armadura?]]="sim",Ligma!$D$16,0)</f>
        <v>13</v>
      </c>
      <c r="K31" s="31" t="s">
        <v>140</v>
      </c>
      <c r="L31" s="31" t="s">
        <v>140</v>
      </c>
      <c r="M31" s="41" t="s">
        <v>139</v>
      </c>
    </row>
    <row r="32" spans="2:13" ht="15">
      <c r="B32" s="32" t="s">
        <v>174</v>
      </c>
      <c r="C32" s="33" t="s">
        <v>151</v>
      </c>
      <c r="D32" s="33">
        <f>VLOOKUP(C32,Ligma!$B$3:$D$8,3,FALSE)</f>
        <v>4</v>
      </c>
      <c r="E32" s="33">
        <f>ROUNDDOWN(Ligma!$G$2/2,0)</f>
        <v>5</v>
      </c>
      <c r="F32" s="33" t="str">
        <f>IF(Tabela1[[#This Row],[Treinada?]]="sim",VLOOKUP(Ligma!$G$2,'uns dados aí'!$E$2:$F$4,2,TRUE),"")</f>
        <v/>
      </c>
      <c r="G32" s="33"/>
      <c r="H32" s="33"/>
      <c r="I32" s="33"/>
      <c r="J32" s="33">
        <f>SUM(Tabela1[[#This Row],[MOD]:[Bônus Habilidade]])-IF(Tabela1[[#This Row],[Penalidade de Armadura?]]="sim",Ligma!$D$16,0)</f>
        <v>9</v>
      </c>
      <c r="K32" s="33" t="s">
        <v>138</v>
      </c>
      <c r="L32" s="33" t="s">
        <v>139</v>
      </c>
      <c r="M32" s="44" t="s">
        <v>139</v>
      </c>
    </row>
    <row r="33" spans="2:13" ht="14.25">
      <c r="B33" s="35" t="s">
        <v>175</v>
      </c>
      <c r="C33" s="36" t="s">
        <v>151</v>
      </c>
      <c r="D33" s="36">
        <f>VLOOKUP(C33,Ligma!$B$3:$D$8,3,FALSE)</f>
        <v>4</v>
      </c>
      <c r="E33" s="36">
        <f>ROUNDDOWN(Ligma!$G$2/2,0)</f>
        <v>5</v>
      </c>
      <c r="F33" s="36">
        <f>IF(Tabela1[[#This Row],[Treinada?]]="sim",VLOOKUP(Ligma!$G$2,'uns dados aí'!$E$2:$F$4,2,TRUE),"")</f>
        <v>4</v>
      </c>
      <c r="G33" s="36"/>
      <c r="H33" s="36"/>
      <c r="I33" s="36"/>
      <c r="J33" s="36">
        <f>SUM(Tabela1[[#This Row],[MOD]:[Bônus Habilidade]])-IF(Tabela1[[#This Row],[Penalidade de Armadura?]]="sim",Ligma!$D$16,0)</f>
        <v>13</v>
      </c>
      <c r="K33" s="36" t="s">
        <v>140</v>
      </c>
      <c r="L33" s="36" t="s">
        <v>139</v>
      </c>
      <c r="M33" s="51" t="s">
        <v>139</v>
      </c>
    </row>
  </sheetData>
  <mergeCells count="2">
    <mergeCell ref="O2:P2"/>
    <mergeCell ref="O7:P7"/>
  </mergeCells>
  <pageMargins left="0.511811024" right="0.511811024" top="0.78740157499999996" bottom="0.78740157499999996" header="0.31496062000000002" footer="0.31496062000000002"/>
  <pageSetup paperSize="9"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P33"/>
  <sheetViews>
    <sheetView workbookViewId="0">
      <selection activeCell="O24" sqref="O24"/>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2" spans="2:16" ht="15" customHeight="1">
      <c r="B2" s="28" t="s">
        <v>127</v>
      </c>
      <c r="C2" s="29" t="s">
        <v>128</v>
      </c>
      <c r="D2" s="29" t="s">
        <v>1</v>
      </c>
      <c r="E2" s="29" t="s">
        <v>129</v>
      </c>
      <c r="F2" s="29" t="s">
        <v>130</v>
      </c>
      <c r="G2" s="29" t="s">
        <v>41</v>
      </c>
      <c r="H2" s="29" t="s">
        <v>24</v>
      </c>
      <c r="I2" s="29" t="s">
        <v>131</v>
      </c>
      <c r="J2" s="29" t="s">
        <v>82</v>
      </c>
      <c r="K2" s="37" t="s">
        <v>132</v>
      </c>
      <c r="L2" s="37" t="s">
        <v>133</v>
      </c>
      <c r="M2" s="38" t="s">
        <v>134</v>
      </c>
      <c r="O2" s="81" t="s">
        <v>135</v>
      </c>
      <c r="P2" s="83"/>
    </row>
    <row r="3" spans="2:16" ht="14.25">
      <c r="B3" s="30" t="s">
        <v>136</v>
      </c>
      <c r="C3" s="31" t="s">
        <v>137</v>
      </c>
      <c r="D3" s="31">
        <f>VLOOKUP(C3,Ligma!$B$3:$D$8,3,FALSE)</f>
        <v>3</v>
      </c>
      <c r="E3" s="31">
        <f>VLOOKUP(Ligma!$G$2,'uns dados aí'!$I$3:$K$22,2,FALSE)</f>
        <v>9</v>
      </c>
      <c r="F3" s="31" t="str">
        <f>IF(Tabela14[[#This Row],[Treinada?]]="sim",VLOOKUP(Ligma!$G$2,'uns dados aí'!$E$2:$F$4,2,TRUE),"")</f>
        <v/>
      </c>
      <c r="G3" s="31"/>
      <c r="H3" s="31"/>
      <c r="I3" s="31"/>
      <c r="J3" s="31">
        <f>SUM(Tabela14[[#This Row],[MOD]:[Bônus Habilidade]])-IF(Tabela14[[#This Row],[Penalidade de Armadura?]]="sim",Ligma!D16,0)</f>
        <v>12</v>
      </c>
      <c r="K3" s="31" t="s">
        <v>138</v>
      </c>
      <c r="L3" s="31" t="s">
        <v>139</v>
      </c>
      <c r="M3" s="41" t="s">
        <v>140</v>
      </c>
      <c r="O3" s="42" t="s">
        <v>34</v>
      </c>
      <c r="P3" s="43">
        <v>2</v>
      </c>
    </row>
    <row r="4" spans="2:16" ht="15">
      <c r="B4" s="32" t="s">
        <v>141</v>
      </c>
      <c r="C4" s="33" t="s">
        <v>142</v>
      </c>
      <c r="D4" s="33">
        <f>VLOOKUP(C4,Ligma!$B$3:$D$8,3,FALSE)</f>
        <v>2</v>
      </c>
      <c r="E4" s="33">
        <f>VLOOKUP(Ligma!$G$2,'uns dados aí'!$I$3:$K$22,2,FALSE)</f>
        <v>9</v>
      </c>
      <c r="F4" s="33" t="str">
        <f>IF(Tabela14[[#This Row],[Treinada?]]="sim",VLOOKUP(Ligma!$G$2,'uns dados aí'!$E$2:$F$4,2,TRUE),"")</f>
        <v/>
      </c>
      <c r="G4" s="33"/>
      <c r="H4" s="33"/>
      <c r="I4" s="33"/>
      <c r="J4" s="33">
        <f>SUM(Tabela14[[#This Row],[MOD]:[Bônus Habilidade]])-IF(Tabela14[[#This Row],[Penalidade de Armadura?]]="sim",Ligma!D17,0)</f>
        <v>11</v>
      </c>
      <c r="K4" s="33" t="s">
        <v>138</v>
      </c>
      <c r="L4" s="33" t="s">
        <v>140</v>
      </c>
      <c r="M4" s="44" t="s">
        <v>139</v>
      </c>
      <c r="O4" s="45" t="s">
        <v>60</v>
      </c>
      <c r="P4" s="46">
        <v>4</v>
      </c>
    </row>
    <row r="5" spans="2:16" ht="14.25">
      <c r="B5" s="30" t="s">
        <v>143</v>
      </c>
      <c r="C5" s="31" t="s">
        <v>144</v>
      </c>
      <c r="D5" s="31">
        <f>VLOOKUP(C5,Ligma!$B$3:$D$8,3,FALSE)</f>
        <v>3</v>
      </c>
      <c r="E5" s="31">
        <f>VLOOKUP(Ligma!$G$2,'uns dados aí'!$I$3:$K$22,2,FALSE)</f>
        <v>9</v>
      </c>
      <c r="F5" s="31" t="str">
        <f>IF(Tabela14[[#This Row],[Treinada?]]="sim",VLOOKUP(Ligma!$G$2,'uns dados aí'!$E$2:$F$4,2,TRUE),"")</f>
        <v/>
      </c>
      <c r="G5" s="31"/>
      <c r="H5" s="31"/>
      <c r="I5" s="31"/>
      <c r="J5" s="31">
        <f>SUM(Tabela14[[#This Row],[MOD]:[Bônus Habilidade]])-IF(Tabela14[[#This Row],[Penalidade de Armadura?]]="sim",Poderes!C1,0)</f>
        <v>12</v>
      </c>
      <c r="K5" s="31" t="s">
        <v>138</v>
      </c>
      <c r="L5" s="31" t="s">
        <v>139</v>
      </c>
      <c r="M5" s="41" t="s">
        <v>139</v>
      </c>
      <c r="O5" s="47" t="s">
        <v>74</v>
      </c>
      <c r="P5" s="48">
        <v>6</v>
      </c>
    </row>
    <row r="6" spans="2:16" ht="15">
      <c r="B6" s="32" t="s">
        <v>145</v>
      </c>
      <c r="C6" s="33" t="s">
        <v>142</v>
      </c>
      <c r="D6" s="33">
        <f>VLOOKUP(C6,Ligma!$B$3:$D$8,3,FALSE)</f>
        <v>2</v>
      </c>
      <c r="E6" s="33">
        <f>VLOOKUP(Ligma!$G$2,'uns dados aí'!$I$3:$K$22,2,FALSE)</f>
        <v>9</v>
      </c>
      <c r="F6" s="33" t="str">
        <f>IF(Tabela14[[#This Row],[Treinada?]]="sim",VLOOKUP(Ligma!$G$2,'uns dados aí'!$E$2:$F$4,2,TRUE),"")</f>
        <v/>
      </c>
      <c r="G6" s="33"/>
      <c r="H6" s="33"/>
      <c r="I6" s="33"/>
      <c r="J6" s="33">
        <f>SUM(Tabela14[[#This Row],[MOD]:[Bônus Habilidade]])-IF(Tabela14[[#This Row],[Penalidade de Armadura?]]="sim",Poderes!C2,0)</f>
        <v>11</v>
      </c>
      <c r="K6" s="33" t="s">
        <v>138</v>
      </c>
      <c r="L6" s="33" t="s">
        <v>139</v>
      </c>
      <c r="M6" s="44" t="s">
        <v>139</v>
      </c>
    </row>
    <row r="7" spans="2:16" ht="15.75" customHeight="1">
      <c r="B7" s="30" t="s">
        <v>146</v>
      </c>
      <c r="C7" s="31" t="s">
        <v>137</v>
      </c>
      <c r="D7" s="31">
        <f>VLOOKUP(C7,Ligma!$B$3:$D$8,3,FALSE)</f>
        <v>3</v>
      </c>
      <c r="E7" s="31">
        <f>VLOOKUP(Ligma!$G$2,'uns dados aí'!$I$3:$K$22,2,FALSE)</f>
        <v>9</v>
      </c>
      <c r="F7" s="31" t="str">
        <f>IF(Tabela14[[#This Row],[Treinada?]]="sim",VLOOKUP(Ligma!$G$2,'uns dados aí'!$E$2:$F$4,2,TRUE),"")</f>
        <v/>
      </c>
      <c r="G7" s="31"/>
      <c r="H7" s="31"/>
      <c r="I7" s="31"/>
      <c r="J7" s="31">
        <f>SUM(Tabela14[[#This Row],[MOD]:[Bônus Habilidade]])-IF(Tabela14[[#This Row],[Penalidade de Armadura?]]="sim",Poderes!C3,0)</f>
        <v>12</v>
      </c>
      <c r="K7" s="31" t="s">
        <v>138</v>
      </c>
      <c r="L7" s="31" t="s">
        <v>139</v>
      </c>
      <c r="M7" s="41" t="s">
        <v>139</v>
      </c>
      <c r="O7" s="81" t="s">
        <v>147</v>
      </c>
      <c r="P7" s="83"/>
    </row>
    <row r="8" spans="2:16" ht="15" customHeight="1">
      <c r="B8" s="32" t="s">
        <v>148</v>
      </c>
      <c r="C8" s="33" t="s">
        <v>149</v>
      </c>
      <c r="D8" s="33">
        <f>VLOOKUP(C8,Ligma!$B$3:$D$8,3,FALSE)</f>
        <v>5</v>
      </c>
      <c r="E8" s="33">
        <f>VLOOKUP(Ligma!$G$2,'uns dados aí'!$I$3:$K$22,2,FALSE)</f>
        <v>9</v>
      </c>
      <c r="F8" s="33">
        <f>IF(Tabela14[[#This Row],[Treinada?]]="sim",VLOOKUP(Ligma!$G$2,'uns dados aí'!$E$2:$F$4,2,TRUE),"")</f>
        <v>4</v>
      </c>
      <c r="G8" s="33"/>
      <c r="H8" s="33"/>
      <c r="I8" s="33"/>
      <c r="J8" s="33">
        <f>SUM(Tabela14[[#This Row],[MOD]:[Bônus Habilidade]])-IF(Tabela14[[#This Row],[Penalidade de Armadura?]]="sim",Poderes!C4,0)</f>
        <v>18</v>
      </c>
      <c r="K8" s="33" t="s">
        <v>140</v>
      </c>
      <c r="L8" s="33" t="s">
        <v>140</v>
      </c>
      <c r="M8" s="44" t="s">
        <v>139</v>
      </c>
      <c r="O8" s="42" t="s">
        <v>4</v>
      </c>
      <c r="P8" s="43">
        <f>VLOOKUP(O8,'uns dados aí'!$B$16:$E$22,4,FALSE)</f>
        <v>0</v>
      </c>
    </row>
    <row r="9" spans="2:16" ht="15">
      <c r="B9" s="30" t="s">
        <v>150</v>
      </c>
      <c r="C9" s="31" t="s">
        <v>151</v>
      </c>
      <c r="D9" s="31">
        <f>VLOOKUP(C9,Ligma!$B$3:$D$8,3,FALSE)</f>
        <v>4</v>
      </c>
      <c r="E9" s="31">
        <f>VLOOKUP(Ligma!$G$2,'uns dados aí'!$I$3:$K$22,2,FALSE)</f>
        <v>9</v>
      </c>
      <c r="F9" s="31">
        <f>IF(Tabela14[[#This Row],[Treinada?]]="sim",VLOOKUP(Ligma!$G$2,'uns dados aí'!$E$2:$F$4,2,TRUE),"")</f>
        <v>4</v>
      </c>
      <c r="G9" s="31"/>
      <c r="H9" s="31"/>
      <c r="I9" s="31"/>
      <c r="J9" s="31">
        <f>SUM(Tabela14[[#This Row],[MOD]:[Bônus Habilidade]])-IF(Tabela14[[#This Row],[Penalidade de Armadura?]]="sim",Poderes!C5,0)</f>
        <v>17</v>
      </c>
      <c r="K9" s="31" t="s">
        <v>140</v>
      </c>
      <c r="L9" s="31" t="s">
        <v>139</v>
      </c>
      <c r="M9" s="41" t="s">
        <v>139</v>
      </c>
      <c r="O9" s="45" t="s">
        <v>9</v>
      </c>
      <c r="P9" s="46">
        <f>VLOOKUP(O9,'uns dados aí'!$B$16:$E$22,4,FALSE)</f>
        <v>2</v>
      </c>
    </row>
    <row r="10" spans="2:16" ht="15">
      <c r="B10" s="32" t="s">
        <v>152</v>
      </c>
      <c r="C10" s="33" t="s">
        <v>142</v>
      </c>
      <c r="D10" s="33">
        <f>VLOOKUP(C10,Ligma!$B$3:$D$8,3,FALSE)</f>
        <v>2</v>
      </c>
      <c r="E10" s="33">
        <f>VLOOKUP(Ligma!$G$2,'uns dados aí'!$I$3:$K$22,2,FALSE)</f>
        <v>9</v>
      </c>
      <c r="F10" s="33" t="str">
        <f>IF(Tabela14[[#This Row],[Treinada?]]="sim",VLOOKUP(Ligma!$G$2,'uns dados aí'!$E$2:$F$4,2,TRUE),"")</f>
        <v/>
      </c>
      <c r="G10" s="33"/>
      <c r="H10" s="33"/>
      <c r="I10" s="33"/>
      <c r="J10" s="33">
        <f>SUM(Tabela14[[#This Row],[MOD]:[Bônus Habilidade]])-IF(Tabela14[[#This Row],[Penalidade de Armadura?]]="sim",Poderes!C6,0)</f>
        <v>11</v>
      </c>
      <c r="K10" s="33" t="s">
        <v>138</v>
      </c>
      <c r="L10" s="33" t="s">
        <v>139</v>
      </c>
      <c r="M10" s="44" t="s">
        <v>139</v>
      </c>
      <c r="O10" s="42" t="s">
        <v>10</v>
      </c>
      <c r="P10" s="43">
        <f>VLOOKUP(O10,'uns dados aí'!$B$16:$E$22,4,FALSE)</f>
        <v>-2</v>
      </c>
    </row>
    <row r="11" spans="2:16" ht="15">
      <c r="B11" s="30" t="s">
        <v>153</v>
      </c>
      <c r="C11" s="31" t="s">
        <v>142</v>
      </c>
      <c r="D11" s="31">
        <f>VLOOKUP(C11,Ligma!$B$3:$D$8,3,FALSE)</f>
        <v>2</v>
      </c>
      <c r="E11" s="31">
        <f>VLOOKUP(Ligma!$G$2,'uns dados aí'!$I$3:$K$22,2,FALSE)</f>
        <v>9</v>
      </c>
      <c r="F11" s="31" t="str">
        <f>IF(Tabela14[[#This Row],[Treinada?]]="sim",VLOOKUP(Ligma!$G$2,'uns dados aí'!$E$2:$F$4,2,TRUE),"")</f>
        <v/>
      </c>
      <c r="G11" s="31"/>
      <c r="H11" s="31"/>
      <c r="I11" s="31"/>
      <c r="J11" s="31">
        <f>SUM(Tabela14[[#This Row],[MOD]:[Bônus Habilidade]])-IF(Tabela14[[#This Row],[Penalidade de Armadura?]]="sim",Poderes!C7,0)</f>
        <v>11</v>
      </c>
      <c r="K11" s="31" t="s">
        <v>138</v>
      </c>
      <c r="L11" s="31" t="s">
        <v>139</v>
      </c>
      <c r="M11" s="41" t="s">
        <v>139</v>
      </c>
      <c r="O11" s="45" t="s">
        <v>12</v>
      </c>
      <c r="P11" s="46">
        <f>VLOOKUP(O11,'uns dados aí'!$B$16:$E$22,4,FALSE)</f>
        <v>4</v>
      </c>
    </row>
    <row r="12" spans="2:16" ht="15">
      <c r="B12" s="32" t="s">
        <v>154</v>
      </c>
      <c r="C12" s="33" t="s">
        <v>155</v>
      </c>
      <c r="D12" s="33">
        <f>VLOOKUP(C12,Ligma!$B$3:$D$8,3,FALSE)</f>
        <v>1</v>
      </c>
      <c r="E12" s="33">
        <f>VLOOKUP(Ligma!$G$2,'uns dados aí'!$I$3:$K$22,2,FALSE)</f>
        <v>9</v>
      </c>
      <c r="F12" s="33" t="str">
        <f>IF(Tabela14[[#This Row],[Treinada?]]="sim",VLOOKUP(Ligma!$G$2,'uns dados aí'!$E$2:$F$4,2,TRUE),"")</f>
        <v/>
      </c>
      <c r="G12" s="33"/>
      <c r="H12" s="33"/>
      <c r="I12" s="33"/>
      <c r="J12" s="33">
        <f>SUM(Tabela14[[#This Row],[MOD]:[Bônus Habilidade]])-IF(Tabela14[[#This Row],[Penalidade de Armadura?]]="sim",Poderes!C8,0)</f>
        <v>10</v>
      </c>
      <c r="K12" s="33" t="s">
        <v>138</v>
      </c>
      <c r="L12" s="33" t="s">
        <v>139</v>
      </c>
      <c r="M12" s="44" t="s">
        <v>139</v>
      </c>
      <c r="O12" s="42" t="s">
        <v>14</v>
      </c>
      <c r="P12" s="43">
        <f>VLOOKUP(O12,'uns dados aí'!$B$16:$E$22,4,FALSE)</f>
        <v>2</v>
      </c>
    </row>
    <row r="13" spans="2:16" ht="15">
      <c r="B13" s="30" t="s">
        <v>156</v>
      </c>
      <c r="C13" s="31" t="s">
        <v>137</v>
      </c>
      <c r="D13" s="31">
        <f>VLOOKUP(C13,Ligma!$B$3:$D$8,3,FALSE)</f>
        <v>3</v>
      </c>
      <c r="E13" s="31">
        <f>VLOOKUP(Ligma!$G$2,'uns dados aí'!$I$3:$K$22,2,FALSE)</f>
        <v>9</v>
      </c>
      <c r="F13" s="31" t="str">
        <f>IF(Tabela14[[#This Row],[Treinada?]]="sim",VLOOKUP(Ligma!$G$2,'uns dados aí'!$E$2:$F$4,2,TRUE),"")</f>
        <v/>
      </c>
      <c r="G13" s="31"/>
      <c r="H13" s="31"/>
      <c r="I13" s="31"/>
      <c r="J13" s="31">
        <f>SUM(Tabela14[[#This Row],[MOD]:[Bônus Habilidade]])-IF(Tabela14[[#This Row],[Penalidade de Armadura?]]="sim",Poderes!C9,0)</f>
        <v>12</v>
      </c>
      <c r="K13" s="31" t="s">
        <v>138</v>
      </c>
      <c r="L13" s="31" t="s">
        <v>139</v>
      </c>
      <c r="M13" s="41" t="s">
        <v>140</v>
      </c>
      <c r="O13" s="49" t="s">
        <v>16</v>
      </c>
      <c r="P13" s="50">
        <f>VLOOKUP(O13,'uns dados aí'!$B$16:$E$22,4,FALSE)</f>
        <v>0</v>
      </c>
    </row>
    <row r="14" spans="2:16" ht="15">
      <c r="B14" s="32" t="s">
        <v>157</v>
      </c>
      <c r="C14" s="33" t="s">
        <v>149</v>
      </c>
      <c r="D14" s="33">
        <f>VLOOKUP(C14,Ligma!$B$3:$D$8,3,FALSE)</f>
        <v>5</v>
      </c>
      <c r="E14" s="33">
        <f>VLOOKUP(Ligma!$G$2,'uns dados aí'!$I$3:$K$22,2,FALSE)</f>
        <v>9</v>
      </c>
      <c r="F14" s="33">
        <f>IF(Tabela14[[#This Row],[Treinada?]]="sim",VLOOKUP(Ligma!$G$2,'uns dados aí'!$E$2:$F$4,2,TRUE),"")</f>
        <v>4</v>
      </c>
      <c r="G14" s="33"/>
      <c r="H14" s="33">
        <v>1</v>
      </c>
      <c r="I14" s="33"/>
      <c r="J14" s="33">
        <f>SUM(Tabela14[[#This Row],[MOD]:[Bônus Habilidade]])-IF(Tabela14[[#This Row],[Penalidade de Armadura?]]="sim",Poderes!C10,0)</f>
        <v>19</v>
      </c>
      <c r="K14" s="33" t="s">
        <v>140</v>
      </c>
      <c r="L14" s="33" t="s">
        <v>140</v>
      </c>
      <c r="M14" s="44" t="s">
        <v>139</v>
      </c>
    </row>
    <row r="15" spans="2:16" ht="14.25">
      <c r="B15" s="30" t="s">
        <v>158</v>
      </c>
      <c r="C15" s="31" t="s">
        <v>137</v>
      </c>
      <c r="D15" s="31">
        <f>VLOOKUP(C15,Ligma!$B$3:$D$8,3,FALSE)</f>
        <v>3</v>
      </c>
      <c r="E15" s="31">
        <f>VLOOKUP(Ligma!$G$2,'uns dados aí'!$I$3:$K$22,2,FALSE)</f>
        <v>9</v>
      </c>
      <c r="F15" s="31" t="str">
        <f>IF(Tabela14[[#This Row],[Treinada?]]="sim",VLOOKUP(Ligma!$G$2,'uns dados aí'!$E$2:$F$4,2,TRUE),"")</f>
        <v/>
      </c>
      <c r="G15" s="31"/>
      <c r="H15" s="31"/>
      <c r="I15" s="31"/>
      <c r="J15" s="31">
        <f>SUM(Tabela14[[#This Row],[MOD]:[Bônus Habilidade]])-IF(Tabela14[[#This Row],[Penalidade de Armadura?]]="sim",Poderes!C11,0)</f>
        <v>12</v>
      </c>
      <c r="K15" s="31" t="s">
        <v>138</v>
      </c>
      <c r="L15" s="31" t="s">
        <v>139</v>
      </c>
      <c r="M15" s="41" t="s">
        <v>139</v>
      </c>
    </row>
    <row r="16" spans="2:16" ht="15">
      <c r="B16" s="32" t="s">
        <v>159</v>
      </c>
      <c r="C16" s="33" t="s">
        <v>142</v>
      </c>
      <c r="D16" s="33">
        <f>VLOOKUP(C16,Ligma!$B$3:$D$8,3,FALSE)</f>
        <v>2</v>
      </c>
      <c r="E16" s="33">
        <f>VLOOKUP(Ligma!$G$2,'uns dados aí'!$I$3:$K$22,2,FALSE)</f>
        <v>9</v>
      </c>
      <c r="F16" s="33" t="str">
        <f>IF(Tabela14[[#This Row],[Treinada?]]="sim",VLOOKUP(Ligma!$G$2,'uns dados aí'!$E$2:$F$4,2,TRUE),"")</f>
        <v/>
      </c>
      <c r="G16" s="33"/>
      <c r="H16" s="33"/>
      <c r="I16" s="33"/>
      <c r="J16" s="33">
        <f>SUM(Tabela14[[#This Row],[MOD]:[Bônus Habilidade]])-IF(Tabela14[[#This Row],[Penalidade de Armadura?]]="sim",Poderes!C12,0)</f>
        <v>11</v>
      </c>
      <c r="K16" s="33" t="s">
        <v>138</v>
      </c>
      <c r="L16" s="33" t="s">
        <v>139</v>
      </c>
      <c r="M16" s="44" t="s">
        <v>139</v>
      </c>
    </row>
    <row r="17" spans="2:13" ht="14.25">
      <c r="B17" s="30" t="s">
        <v>160</v>
      </c>
      <c r="C17" s="31" t="s">
        <v>151</v>
      </c>
      <c r="D17" s="31">
        <f>VLOOKUP(C17,Ligma!$B$3:$D$8,3,FALSE)</f>
        <v>4</v>
      </c>
      <c r="E17" s="31">
        <f>VLOOKUP(Ligma!$G$2,'uns dados aí'!$I$3:$K$22,2,FALSE)</f>
        <v>9</v>
      </c>
      <c r="F17" s="31" t="str">
        <f>IF(Tabela14[[#This Row],[Treinada?]]="sim",VLOOKUP(Ligma!$G$2,'uns dados aí'!$E$2:$F$4,2,TRUE),"")</f>
        <v/>
      </c>
      <c r="G17" s="31"/>
      <c r="H17" s="31"/>
      <c r="I17" s="31"/>
      <c r="J17" s="31">
        <f>SUM(Tabela14[[#This Row],[MOD]:[Bônus Habilidade]])-IF(Tabela14[[#This Row],[Penalidade de Armadura?]]="sim",Poderes!C13,0)</f>
        <v>13</v>
      </c>
      <c r="K17" s="31" t="s">
        <v>138</v>
      </c>
      <c r="L17" s="31" t="s">
        <v>139</v>
      </c>
      <c r="M17" s="41" t="s">
        <v>139</v>
      </c>
    </row>
    <row r="18" spans="2:13" ht="15">
      <c r="B18" s="32" t="s">
        <v>161</v>
      </c>
      <c r="C18" s="33" t="s">
        <v>149</v>
      </c>
      <c r="D18" s="33">
        <f>VLOOKUP(C18,Ligma!$B$3:$D$8,3,FALSE)</f>
        <v>5</v>
      </c>
      <c r="E18" s="33">
        <f>VLOOKUP(Ligma!$G$2,'uns dados aí'!$I$3:$K$22,2,FALSE)</f>
        <v>9</v>
      </c>
      <c r="F18" s="33">
        <f>IF(Tabela14[[#This Row],[Treinada?]]="sim",VLOOKUP(Ligma!$G$2,'uns dados aí'!$E$2:$F$4,2,TRUE),"")</f>
        <v>4</v>
      </c>
      <c r="G18" s="33"/>
      <c r="H18" s="33"/>
      <c r="I18" s="33"/>
      <c r="J18" s="33">
        <f>SUM(Tabela14[[#This Row],[MOD]:[Bônus Habilidade]])-IF(Tabela14[[#This Row],[Penalidade de Armadura?]]="sim",Poderes!C14,0)</f>
        <v>18</v>
      </c>
      <c r="K18" s="33" t="s">
        <v>140</v>
      </c>
      <c r="L18" s="33" t="s">
        <v>139</v>
      </c>
      <c r="M18" s="44" t="s">
        <v>139</v>
      </c>
    </row>
    <row r="19" spans="2:13" ht="14.25">
      <c r="B19" s="30" t="s">
        <v>162</v>
      </c>
      <c r="C19" s="31" t="s">
        <v>142</v>
      </c>
      <c r="D19" s="31">
        <f>VLOOKUP(C19,Ligma!$B$3:$D$8,3,FALSE)</f>
        <v>2</v>
      </c>
      <c r="E19" s="31">
        <f>VLOOKUP(Ligma!$G$2,'uns dados aí'!$I$3:$K$22,2,FALSE)</f>
        <v>9</v>
      </c>
      <c r="F19" s="31" t="str">
        <f>IF(Tabela14[[#This Row],[Treinada?]]="sim",VLOOKUP(Ligma!$G$2,'uns dados aí'!$E$2:$F$4,2,TRUE),"")</f>
        <v/>
      </c>
      <c r="G19" s="31"/>
      <c r="H19" s="31"/>
      <c r="I19" s="31"/>
      <c r="J19" s="31">
        <f>SUM(Tabela14[[#This Row],[MOD]:[Bônus Habilidade]])-IF(Tabela14[[#This Row],[Penalidade de Armadura?]]="sim",Poderes!C15,0)</f>
        <v>11</v>
      </c>
      <c r="K19" s="31" t="s">
        <v>138</v>
      </c>
      <c r="L19" s="31" t="s">
        <v>140</v>
      </c>
      <c r="M19" s="41" t="s">
        <v>139</v>
      </c>
    </row>
    <row r="20" spans="2:13" ht="15">
      <c r="B20" s="32" t="s">
        <v>163</v>
      </c>
      <c r="C20" s="33" t="s">
        <v>137</v>
      </c>
      <c r="D20" s="33">
        <f>VLOOKUP(C20,Ligma!$B$3:$D$8,3,FALSE)</f>
        <v>3</v>
      </c>
      <c r="E20" s="33">
        <f>VLOOKUP(Ligma!$G$2,'uns dados aí'!$I$3:$K$22,2,FALSE)</f>
        <v>9</v>
      </c>
      <c r="F20" s="33" t="str">
        <f>IF(Tabela14[[#This Row],[Treinada?]]="sim",VLOOKUP(Ligma!$G$2,'uns dados aí'!$E$2:$F$4,2,TRUE),"")</f>
        <v/>
      </c>
      <c r="G20" s="33"/>
      <c r="H20" s="33"/>
      <c r="I20" s="33"/>
      <c r="J20" s="33">
        <f>SUM(Tabela14[[#This Row],[MOD]:[Bônus Habilidade]])-IF(Tabela14[[#This Row],[Penalidade de Armadura?]]="sim",Poderes!C16,0)</f>
        <v>12</v>
      </c>
      <c r="K20" s="33" t="s">
        <v>138</v>
      </c>
      <c r="L20" s="33" t="s">
        <v>140</v>
      </c>
      <c r="M20" s="44" t="s">
        <v>140</v>
      </c>
    </row>
    <row r="21" spans="2:13" ht="14.25">
      <c r="B21" s="30" t="s">
        <v>83</v>
      </c>
      <c r="C21" s="31" t="s">
        <v>144</v>
      </c>
      <c r="D21" s="31">
        <f>VLOOKUP(C21,Ligma!$B$3:$D$8,3,FALSE)</f>
        <v>3</v>
      </c>
      <c r="E21" s="31">
        <f>VLOOKUP(Ligma!$G$2,'uns dados aí'!$I$3:$K$22,2,FALSE)</f>
        <v>9</v>
      </c>
      <c r="F21" s="31">
        <f>IF(Tabela14[[#This Row],[Treinada?]]="sim",VLOOKUP(Ligma!$G$2,'uns dados aí'!$E$2:$F$4,2,TRUE),"")</f>
        <v>4</v>
      </c>
      <c r="G21" s="31"/>
      <c r="H21" s="31"/>
      <c r="I21" s="31"/>
      <c r="J21" s="31">
        <f>SUM(Tabela14[[#This Row],[MOD]:[Bônus Habilidade]])-IF(Tabela14[[#This Row],[Penalidade de Armadura?]]="sim",Poderes!C17,0)</f>
        <v>16</v>
      </c>
      <c r="K21" s="31" t="s">
        <v>140</v>
      </c>
      <c r="L21" s="31" t="s">
        <v>139</v>
      </c>
      <c r="M21" s="41" t="s">
        <v>139</v>
      </c>
    </row>
    <row r="22" spans="2:13" ht="15">
      <c r="B22" s="32" t="s">
        <v>164</v>
      </c>
      <c r="C22" s="33" t="s">
        <v>149</v>
      </c>
      <c r="D22" s="33">
        <f>VLOOKUP(C22,Ligma!$B$3:$D$8,3,FALSE)</f>
        <v>5</v>
      </c>
      <c r="E22" s="33">
        <f>VLOOKUP(Ligma!$G$2,'uns dados aí'!$I$3:$K$22,2,FALSE)</f>
        <v>9</v>
      </c>
      <c r="F22" s="33">
        <f>IF(Tabela14[[#This Row],[Treinada?]]="sim",VLOOKUP(Ligma!$G$2,'uns dados aí'!$E$2:$F$4,2,TRUE),"")</f>
        <v>4</v>
      </c>
      <c r="G22" s="33">
        <v>2</v>
      </c>
      <c r="H22" s="33"/>
      <c r="I22" s="33"/>
      <c r="J22" s="33">
        <f>SUM(Tabela14[[#This Row],[MOD]:[Bônus Habilidade]])-IF(Tabela14[[#This Row],[Penalidade de Armadura?]]="sim",Poderes!C18,0)</f>
        <v>20</v>
      </c>
      <c r="K22" s="33" t="s">
        <v>140</v>
      </c>
      <c r="L22" s="33" t="s">
        <v>140</v>
      </c>
      <c r="M22" s="44" t="s">
        <v>139</v>
      </c>
    </row>
    <row r="23" spans="2:13" ht="14.25">
      <c r="B23" s="30" t="s">
        <v>165</v>
      </c>
      <c r="C23" s="31" t="s">
        <v>149</v>
      </c>
      <c r="D23" s="31">
        <f>VLOOKUP(C23,Ligma!$B$3:$D$8,3,FALSE)</f>
        <v>5</v>
      </c>
      <c r="E23" s="31">
        <f>VLOOKUP(Ligma!$G$2,'uns dados aí'!$I$3:$K$22,2,FALSE)</f>
        <v>9</v>
      </c>
      <c r="F23" s="31" t="str">
        <f>IF(Tabela14[[#This Row],[Treinada?]]="sim",VLOOKUP(Ligma!$G$2,'uns dados aí'!$E$2:$F$4,2,TRUE),"")</f>
        <v/>
      </c>
      <c r="G23" s="31"/>
      <c r="H23" s="31"/>
      <c r="I23" s="31"/>
      <c r="J23" s="31">
        <f>SUM(Tabela14[[#This Row],[MOD]:[Bônus Habilidade]])-IF(Tabela14[[#This Row],[Penalidade de Armadura?]]="sim",Poderes!C19,0)</f>
        <v>14</v>
      </c>
      <c r="K23" s="31" t="s">
        <v>138</v>
      </c>
      <c r="L23" s="31" t="s">
        <v>140</v>
      </c>
      <c r="M23" s="41" t="s">
        <v>139</v>
      </c>
    </row>
    <row r="24" spans="2:13" ht="15">
      <c r="B24" s="32" t="s">
        <v>166</v>
      </c>
      <c r="C24" s="33" t="s">
        <v>149</v>
      </c>
      <c r="D24" s="33">
        <f>VLOOKUP(C24,Ligma!$B$3:$D$8,3,FALSE)</f>
        <v>5</v>
      </c>
      <c r="E24" s="33">
        <f>VLOOKUP(Ligma!$G$2,'uns dados aí'!$I$3:$K$22,2,FALSE)</f>
        <v>9</v>
      </c>
      <c r="F24" s="33">
        <f>IF(Tabela14[[#This Row],[Treinada?]]="sim",VLOOKUP(Ligma!$G$2,'uns dados aí'!$E$2:$F$4,2,TRUE),"")</f>
        <v>4</v>
      </c>
      <c r="G24" s="33"/>
      <c r="H24" s="33"/>
      <c r="I24" s="33"/>
      <c r="J24" s="33">
        <f>SUM(Tabela14[[#This Row],[MOD]:[Bônus Habilidade]])-IF(Tabela14[[#This Row],[Penalidade de Armadura?]]="sim",Poderes!C20,0)</f>
        <v>18</v>
      </c>
      <c r="K24" s="33" t="s">
        <v>140</v>
      </c>
      <c r="L24" s="33" t="s">
        <v>140</v>
      </c>
      <c r="M24" s="44" t="s">
        <v>139</v>
      </c>
    </row>
    <row r="25" spans="2:13" ht="14.25">
      <c r="B25" s="30" t="s">
        <v>167</v>
      </c>
      <c r="C25" s="31" t="s">
        <v>149</v>
      </c>
      <c r="D25" s="31">
        <f>VLOOKUP(C25,Ligma!$B$3:$D$8,3,FALSE)</f>
        <v>5</v>
      </c>
      <c r="E25" s="31">
        <f>VLOOKUP(Ligma!$G$2,'uns dados aí'!$I$3:$K$22,2,FALSE)</f>
        <v>9</v>
      </c>
      <c r="F25" s="31">
        <f>IF(Tabela14[[#This Row],[Treinada?]]="sim",VLOOKUP(Ligma!$G$2,'uns dados aí'!$E$2:$F$4,2,TRUE),"")</f>
        <v>4</v>
      </c>
      <c r="G25" s="31"/>
      <c r="H25" s="31"/>
      <c r="I25" s="31"/>
      <c r="J25" s="31">
        <f>SUM(Tabela14[[#This Row],[MOD]:[Bônus Habilidade]])-IF(Tabela14[[#This Row],[Penalidade de Armadura?]]="sim",Poderes!C21,0)</f>
        <v>18</v>
      </c>
      <c r="K25" s="31" t="s">
        <v>140</v>
      </c>
      <c r="L25" s="31" t="s">
        <v>140</v>
      </c>
      <c r="M25" s="41" t="s">
        <v>139</v>
      </c>
    </row>
    <row r="26" spans="2:13" ht="15">
      <c r="B26" s="34" t="s">
        <v>168</v>
      </c>
      <c r="C26" s="33" t="s">
        <v>149</v>
      </c>
      <c r="D26" s="33">
        <f>VLOOKUP(C26,Ligma!$B$3:$D$8,3,FALSE)</f>
        <v>5</v>
      </c>
      <c r="E26" s="33">
        <f>VLOOKUP(Ligma!$G$2,'uns dados aí'!$I$3:$K$22,2,FALSE)</f>
        <v>9</v>
      </c>
      <c r="F26" s="33">
        <f>IF(Tabela14[[#This Row],[Treinada?]]="sim",VLOOKUP(Ligma!$G$2,'uns dados aí'!$E$2:$F$4,2,TRUE),"")</f>
        <v>4</v>
      </c>
      <c r="G26" s="33"/>
      <c r="H26" s="33"/>
      <c r="I26" s="33"/>
      <c r="J26" s="33">
        <f>SUM(Tabela14[[#This Row],[MOD]:[Bônus Habilidade]])-IF(Tabela14[[#This Row],[Penalidade de Armadura?]]="sim",Poderes!C22,0)</f>
        <v>18</v>
      </c>
      <c r="K26" s="33" t="s">
        <v>140</v>
      </c>
      <c r="L26" s="33" t="s">
        <v>140</v>
      </c>
      <c r="M26" s="44" t="s">
        <v>139</v>
      </c>
    </row>
    <row r="27" spans="2:13" ht="14.25">
      <c r="B27" s="30" t="s">
        <v>169</v>
      </c>
      <c r="C27" s="31" t="s">
        <v>151</v>
      </c>
      <c r="D27" s="31">
        <f>VLOOKUP(C27,Ligma!$B$3:$D$8,3,FALSE)</f>
        <v>4</v>
      </c>
      <c r="E27" s="31">
        <f>VLOOKUP(Ligma!$G$2,'uns dados aí'!$I$3:$K$22,2,FALSE)</f>
        <v>9</v>
      </c>
      <c r="F27" s="31">
        <f>IF(Tabela14[[#This Row],[Treinada?]]="sim",VLOOKUP(Ligma!$G$2,'uns dados aí'!$E$2:$F$4,2,TRUE),"")</f>
        <v>4</v>
      </c>
      <c r="G27" s="31">
        <v>2</v>
      </c>
      <c r="H27" s="31"/>
      <c r="I27" s="31"/>
      <c r="J27" s="31">
        <f>SUM(Tabela14[[#This Row],[MOD]:[Bônus Habilidade]])-IF(Tabela14[[#This Row],[Penalidade de Armadura?]]="sim",Ligma!D40,0)</f>
        <v>19</v>
      </c>
      <c r="K27" s="31" t="s">
        <v>140</v>
      </c>
      <c r="L27" s="31" t="s">
        <v>139</v>
      </c>
      <c r="M27" s="41" t="s">
        <v>139</v>
      </c>
    </row>
    <row r="28" spans="2:13" ht="15">
      <c r="B28" s="32" t="s">
        <v>170</v>
      </c>
      <c r="C28" s="33" t="s">
        <v>137</v>
      </c>
      <c r="D28" s="33">
        <f>VLOOKUP(C28,Ligma!$B$3:$D$8,3,FALSE)</f>
        <v>3</v>
      </c>
      <c r="E28" s="33">
        <f>VLOOKUP(Ligma!$G$2,'uns dados aí'!$I$3:$K$22,2,FALSE)</f>
        <v>9</v>
      </c>
      <c r="F28" s="33" t="str">
        <f>IF(Tabela14[[#This Row],[Treinada?]]="sim",VLOOKUP(Ligma!$G$2,'uns dados aí'!$E$2:$F$4,2,TRUE),"")</f>
        <v/>
      </c>
      <c r="G28" s="33"/>
      <c r="H28" s="33"/>
      <c r="I28" s="33"/>
      <c r="J28" s="33">
        <f>SUM(Tabela14[[#This Row],[MOD]:[Bônus Habilidade]])-IF(Tabela14[[#This Row],[Penalidade de Armadura?]]="sim",Poderes!K1,0)</f>
        <v>12</v>
      </c>
      <c r="K28" s="33" t="s">
        <v>138</v>
      </c>
      <c r="L28" s="33" t="s">
        <v>140</v>
      </c>
      <c r="M28" s="44" t="s">
        <v>139</v>
      </c>
    </row>
    <row r="29" spans="2:13" ht="14.25">
      <c r="B29" s="30" t="s">
        <v>171</v>
      </c>
      <c r="C29" s="31" t="s">
        <v>137</v>
      </c>
      <c r="D29" s="31">
        <f>VLOOKUP(C29,Ligma!$B$3:$D$8,3,FALSE)</f>
        <v>3</v>
      </c>
      <c r="E29" s="31">
        <f>VLOOKUP(Ligma!$G$2,'uns dados aí'!$I$3:$K$22,2,FALSE)</f>
        <v>9</v>
      </c>
      <c r="F29" s="31" t="str">
        <f>IF(Tabela14[[#This Row],[Treinada?]]="sim",VLOOKUP(Ligma!$G$2,'uns dados aí'!$E$2:$F$4,2,TRUE),"")</f>
        <v/>
      </c>
      <c r="G29" s="31"/>
      <c r="H29" s="31"/>
      <c r="I29" s="31"/>
      <c r="J29" s="31">
        <f>SUM(Tabela14[[#This Row],[MOD]:[Bônus Habilidade]])-IF(Tabela14[[#This Row],[Penalidade de Armadura?]]="sim",Poderes!K2,0)</f>
        <v>12</v>
      </c>
      <c r="K29" s="31" t="s">
        <v>138</v>
      </c>
      <c r="L29" s="31" t="s">
        <v>139</v>
      </c>
      <c r="M29" s="41" t="s">
        <v>139</v>
      </c>
    </row>
    <row r="30" spans="2:13" ht="15">
      <c r="B30" s="32" t="s">
        <v>172</v>
      </c>
      <c r="C30" s="33" t="s">
        <v>137</v>
      </c>
      <c r="D30" s="33">
        <f>VLOOKUP(C30,Ligma!$B$3:$D$8,3,FALSE)</f>
        <v>3</v>
      </c>
      <c r="E30" s="33">
        <f>VLOOKUP(Ligma!$G$2,'uns dados aí'!$I$3:$K$22,2,FALSE)</f>
        <v>9</v>
      </c>
      <c r="F30" s="33">
        <f>IF(Tabela14[[#This Row],[Treinada?]]="sim",VLOOKUP(Ligma!$G$2,'uns dados aí'!$E$2:$F$4,2,TRUE),"")</f>
        <v>4</v>
      </c>
      <c r="G30" s="33"/>
      <c r="H30" s="33"/>
      <c r="I30" s="33"/>
      <c r="J30" s="33">
        <f>SUM(Tabela14[[#This Row],[MOD]:[Bônus Habilidade]])-IF(Tabela14[[#This Row],[Penalidade de Armadura?]]="sim",Poderes!#REF!,0)</f>
        <v>16</v>
      </c>
      <c r="K30" s="33" t="s">
        <v>140</v>
      </c>
      <c r="L30" s="33" t="s">
        <v>139</v>
      </c>
      <c r="M30" s="44" t="s">
        <v>139</v>
      </c>
    </row>
    <row r="31" spans="2:13" ht="14.25">
      <c r="B31" s="30" t="s">
        <v>173</v>
      </c>
      <c r="C31" s="31" t="s">
        <v>151</v>
      </c>
      <c r="D31" s="31">
        <f>VLOOKUP(C31,Ligma!$B$3:$D$8,3,FALSE)</f>
        <v>4</v>
      </c>
      <c r="E31" s="31">
        <f>VLOOKUP(Ligma!$G$2,'uns dados aí'!$I$3:$K$22,2,FALSE)</f>
        <v>9</v>
      </c>
      <c r="F31" s="31">
        <f>IF(Tabela14[[#This Row],[Treinada?]]="sim",VLOOKUP(Ligma!$G$2,'uns dados aí'!$E$2:$F$4,2,TRUE),"")</f>
        <v>4</v>
      </c>
      <c r="G31" s="31"/>
      <c r="H31" s="31"/>
      <c r="I31" s="31"/>
      <c r="J31" s="31">
        <f>SUM(Tabela14[[#This Row],[MOD]:[Bônus Habilidade]])-IF(Tabela14[[#This Row],[Penalidade de Armadura?]]="sim",Poderes!#REF!,0)</f>
        <v>17</v>
      </c>
      <c r="K31" s="31" t="s">
        <v>140</v>
      </c>
      <c r="L31" s="31" t="s">
        <v>140</v>
      </c>
      <c r="M31" s="41" t="s">
        <v>139</v>
      </c>
    </row>
    <row r="32" spans="2:13" ht="15">
      <c r="B32" s="32" t="s">
        <v>174</v>
      </c>
      <c r="C32" s="33" t="s">
        <v>151</v>
      </c>
      <c r="D32" s="33">
        <f>VLOOKUP(C32,Ligma!$B$3:$D$8,3,FALSE)</f>
        <v>4</v>
      </c>
      <c r="E32" s="33">
        <f>VLOOKUP(Ligma!$G$2,'uns dados aí'!$I$3:$K$22,2,FALSE)</f>
        <v>9</v>
      </c>
      <c r="F32" s="33" t="str">
        <f>IF(Tabela14[[#This Row],[Treinada?]]="sim",VLOOKUP(Ligma!$G$2,'uns dados aí'!$E$2:$F$4,2,TRUE),"")</f>
        <v/>
      </c>
      <c r="G32" s="33"/>
      <c r="H32" s="33"/>
      <c r="I32" s="33"/>
      <c r="J32" s="33">
        <f>SUM(Tabela14[[#This Row],[MOD]:[Bônus Habilidade]])-IF(Tabela14[[#This Row],[Penalidade de Armadura?]]="sim",Poderes!#REF!,0)</f>
        <v>13</v>
      </c>
      <c r="K32" s="33" t="s">
        <v>138</v>
      </c>
      <c r="L32" s="33" t="s">
        <v>139</v>
      </c>
      <c r="M32" s="44" t="s">
        <v>139</v>
      </c>
    </row>
    <row r="33" spans="2:13" ht="14.25">
      <c r="B33" s="35" t="s">
        <v>175</v>
      </c>
      <c r="C33" s="36" t="s">
        <v>151</v>
      </c>
      <c r="D33" s="36">
        <f>VLOOKUP(C33,Ligma!$B$3:$D$8,3,FALSE)</f>
        <v>4</v>
      </c>
      <c r="E33" s="36">
        <f>VLOOKUP(Ligma!$G$2,'uns dados aí'!$I$3:$K$22,2,FALSE)</f>
        <v>9</v>
      </c>
      <c r="F33" s="36">
        <f>IF(Tabela14[[#This Row],[Treinada?]]="sim",VLOOKUP(Ligma!$G$2,'uns dados aí'!$E$2:$F$4,2,TRUE),"")</f>
        <v>4</v>
      </c>
      <c r="G33" s="36"/>
      <c r="H33" s="36"/>
      <c r="I33" s="36"/>
      <c r="J33" s="36">
        <f>SUM(Tabela14[[#This Row],[MOD]:[Bônus Habilidade]])-IF(Tabela14[[#This Row],[Penalidade de Armadura?]]="sim",Poderes!#REF!,0)</f>
        <v>17</v>
      </c>
      <c r="K33" s="36" t="s">
        <v>140</v>
      </c>
      <c r="L33" s="36" t="s">
        <v>139</v>
      </c>
      <c r="M33" s="51" t="s">
        <v>139</v>
      </c>
    </row>
  </sheetData>
  <mergeCells count="2">
    <mergeCell ref="O2:P2"/>
    <mergeCell ref="O7:P7"/>
  </mergeCells>
  <pageMargins left="0.511811024" right="0.511811024" top="0.78740157499999996" bottom="0.78740157499999996" header="0.31496062000000002" footer="0.31496062000000002"/>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N22"/>
  <sheetViews>
    <sheetView zoomScale="115" zoomScaleNormal="115" workbookViewId="0">
      <selection activeCell="D20" sqref="D20"/>
    </sheetView>
  </sheetViews>
  <sheetFormatPr defaultColWidth="9" defaultRowHeight="13.5"/>
  <cols>
    <col min="2" max="3" width="10.25" customWidth="1"/>
    <col min="4" max="4" width="12.25" customWidth="1"/>
    <col min="8" max="8" width="20.25" customWidth="1"/>
    <col min="9" max="10" width="19.875" customWidth="1"/>
    <col min="11" max="11" width="17" customWidth="1"/>
  </cols>
  <sheetData>
    <row r="2" spans="2:14" ht="15">
      <c r="B2" s="115" t="s">
        <v>176</v>
      </c>
      <c r="C2" s="116"/>
      <c r="E2" s="1">
        <v>1</v>
      </c>
      <c r="F2" s="2">
        <v>2</v>
      </c>
      <c r="H2" s="15" t="s">
        <v>177</v>
      </c>
      <c r="I2" s="21" t="s">
        <v>178</v>
      </c>
      <c r="J2" s="22" t="s">
        <v>179</v>
      </c>
      <c r="K2" s="2" t="s">
        <v>180</v>
      </c>
      <c r="M2" s="1" t="s">
        <v>181</v>
      </c>
      <c r="N2" s="2">
        <f>12+Ligma!D5</f>
        <v>13</v>
      </c>
    </row>
    <row r="3" spans="2:14" ht="14.25">
      <c r="B3" s="3" t="s">
        <v>4</v>
      </c>
      <c r="C3" s="4">
        <v>16</v>
      </c>
      <c r="E3" s="3">
        <v>7</v>
      </c>
      <c r="F3" s="4">
        <v>4</v>
      </c>
      <c r="H3" s="3">
        <v>0</v>
      </c>
      <c r="I3" s="12">
        <v>1</v>
      </c>
      <c r="J3" s="23">
        <v>2</v>
      </c>
      <c r="K3" s="4">
        <f>ROUNDDOWN(I3/2,0)</f>
        <v>0</v>
      </c>
      <c r="M3" s="3" t="s">
        <v>182</v>
      </c>
      <c r="N3" s="4">
        <v>4</v>
      </c>
    </row>
    <row r="4" spans="2:14" ht="15">
      <c r="B4" s="5" t="s">
        <v>9</v>
      </c>
      <c r="C4" s="6">
        <v>15</v>
      </c>
      <c r="E4" s="7">
        <v>15</v>
      </c>
      <c r="F4" s="8">
        <v>6</v>
      </c>
      <c r="H4" s="16">
        <v>1000</v>
      </c>
      <c r="I4" s="24">
        <v>2</v>
      </c>
      <c r="J4" s="25">
        <v>3</v>
      </c>
      <c r="K4" s="6">
        <f t="shared" ref="K4:K22" si="0">ROUNDDOWN(I4/2,0)</f>
        <v>1</v>
      </c>
      <c r="M4" s="7" t="s">
        <v>183</v>
      </c>
      <c r="N4" s="8">
        <v>1</v>
      </c>
    </row>
    <row r="5" spans="2:14" ht="14.25">
      <c r="B5" s="3" t="s">
        <v>10</v>
      </c>
      <c r="C5" s="4">
        <v>15</v>
      </c>
      <c r="H5" s="17">
        <v>3000</v>
      </c>
      <c r="I5" s="12">
        <v>3</v>
      </c>
      <c r="J5" s="23">
        <v>3</v>
      </c>
      <c r="K5" s="4">
        <f t="shared" si="0"/>
        <v>1</v>
      </c>
    </row>
    <row r="6" spans="2:14" ht="15">
      <c r="B6" s="5" t="s">
        <v>12</v>
      </c>
      <c r="C6" s="6">
        <v>16</v>
      </c>
      <c r="H6" s="16">
        <v>6000</v>
      </c>
      <c r="I6" s="24">
        <v>4</v>
      </c>
      <c r="J6" s="25">
        <v>4</v>
      </c>
      <c r="K6" s="6">
        <f t="shared" si="0"/>
        <v>2</v>
      </c>
    </row>
    <row r="7" spans="2:14" ht="14.25">
      <c r="B7" s="3" t="s">
        <v>14</v>
      </c>
      <c r="C7" s="4">
        <v>16</v>
      </c>
      <c r="H7" s="17">
        <v>10000</v>
      </c>
      <c r="I7" s="12">
        <v>5</v>
      </c>
      <c r="J7" s="23">
        <v>4</v>
      </c>
      <c r="K7" s="4">
        <f t="shared" si="0"/>
        <v>2</v>
      </c>
    </row>
    <row r="8" spans="2:14" ht="15">
      <c r="B8" s="7" t="s">
        <v>16</v>
      </c>
      <c r="C8" s="8">
        <v>14</v>
      </c>
      <c r="H8" s="16">
        <v>15000</v>
      </c>
      <c r="I8" s="24">
        <v>6</v>
      </c>
      <c r="J8" s="25">
        <v>5</v>
      </c>
      <c r="K8" s="6">
        <f t="shared" si="0"/>
        <v>3</v>
      </c>
    </row>
    <row r="9" spans="2:14" ht="14.25">
      <c r="H9" s="17">
        <v>21000</v>
      </c>
      <c r="I9" s="12">
        <v>7</v>
      </c>
      <c r="J9" s="23">
        <v>7</v>
      </c>
      <c r="K9" s="4">
        <f t="shared" si="0"/>
        <v>3</v>
      </c>
    </row>
    <row r="10" spans="2:14" ht="15">
      <c r="H10" s="16">
        <v>28000</v>
      </c>
      <c r="I10" s="24">
        <v>8</v>
      </c>
      <c r="J10" s="25">
        <v>8</v>
      </c>
      <c r="K10" s="6">
        <f t="shared" si="0"/>
        <v>4</v>
      </c>
    </row>
    <row r="11" spans="2:14" ht="14.25">
      <c r="H11" s="17">
        <v>36000</v>
      </c>
      <c r="I11" s="12">
        <v>9</v>
      </c>
      <c r="J11" s="23">
        <v>8</v>
      </c>
      <c r="K11" s="4">
        <f t="shared" si="0"/>
        <v>4</v>
      </c>
    </row>
    <row r="12" spans="2:14" ht="15">
      <c r="B12" s="1" t="s">
        <v>184</v>
      </c>
      <c r="C12" s="2">
        <f>3+Ligma!D5</f>
        <v>4</v>
      </c>
      <c r="H12" s="16">
        <v>45000</v>
      </c>
      <c r="I12" s="24">
        <v>10</v>
      </c>
      <c r="J12" s="25">
        <v>9</v>
      </c>
      <c r="K12" s="6">
        <f t="shared" si="0"/>
        <v>5</v>
      </c>
    </row>
    <row r="13" spans="2:14" ht="14.25">
      <c r="B13" s="3" t="s">
        <v>185</v>
      </c>
      <c r="C13" s="4">
        <f>SUM(N3:N4)</f>
        <v>5</v>
      </c>
      <c r="H13" s="17">
        <v>55000</v>
      </c>
      <c r="I13" s="12">
        <v>11</v>
      </c>
      <c r="J13" s="23">
        <v>9</v>
      </c>
      <c r="K13" s="4">
        <f t="shared" si="0"/>
        <v>5</v>
      </c>
    </row>
    <row r="14" spans="2:14" ht="15">
      <c r="B14" s="7"/>
      <c r="C14" s="8"/>
      <c r="H14" s="16">
        <v>66000</v>
      </c>
      <c r="I14" s="24">
        <v>12</v>
      </c>
      <c r="J14" s="25">
        <v>10</v>
      </c>
      <c r="K14" s="6">
        <f t="shared" si="0"/>
        <v>6</v>
      </c>
    </row>
    <row r="15" spans="2:14" ht="14.25">
      <c r="H15" s="17">
        <v>78000</v>
      </c>
      <c r="I15" s="12">
        <v>13</v>
      </c>
      <c r="J15" s="23">
        <v>10</v>
      </c>
      <c r="K15" s="4">
        <f t="shared" si="0"/>
        <v>6</v>
      </c>
    </row>
    <row r="16" spans="2:14" ht="15">
      <c r="B16" s="9" t="s">
        <v>128</v>
      </c>
      <c r="C16" s="10" t="s">
        <v>186</v>
      </c>
      <c r="D16" s="10" t="s">
        <v>187</v>
      </c>
      <c r="E16" s="18" t="s">
        <v>82</v>
      </c>
      <c r="H16" s="16">
        <v>91000</v>
      </c>
      <c r="I16" s="24">
        <v>14</v>
      </c>
      <c r="J16" s="25">
        <v>11</v>
      </c>
      <c r="K16" s="6">
        <f t="shared" si="0"/>
        <v>7</v>
      </c>
    </row>
    <row r="17" spans="2:11" ht="15">
      <c r="B17" s="5" t="s">
        <v>4</v>
      </c>
      <c r="C17" s="11">
        <v>0</v>
      </c>
      <c r="D17" s="11"/>
      <c r="E17" s="6">
        <f>SUM(C17:D17)</f>
        <v>0</v>
      </c>
      <c r="H17" s="17">
        <v>105000</v>
      </c>
      <c r="I17" s="12">
        <v>15</v>
      </c>
      <c r="J17" s="23">
        <v>13</v>
      </c>
      <c r="K17" s="4">
        <f t="shared" si="0"/>
        <v>7</v>
      </c>
    </row>
    <row r="18" spans="2:11" ht="15">
      <c r="B18" s="3" t="s">
        <v>9</v>
      </c>
      <c r="C18" s="12">
        <v>2</v>
      </c>
      <c r="D18" s="12"/>
      <c r="E18" s="4">
        <f t="shared" ref="E18:E22" si="1">SUM(C18:D18)</f>
        <v>2</v>
      </c>
      <c r="H18" s="16">
        <v>120000</v>
      </c>
      <c r="I18" s="24">
        <v>16</v>
      </c>
      <c r="J18" s="25">
        <v>14</v>
      </c>
      <c r="K18" s="6">
        <f t="shared" si="0"/>
        <v>8</v>
      </c>
    </row>
    <row r="19" spans="2:11" ht="15">
      <c r="B19" s="5" t="s">
        <v>10</v>
      </c>
      <c r="C19" s="11">
        <v>-2</v>
      </c>
      <c r="D19" s="11"/>
      <c r="E19" s="6">
        <f t="shared" si="1"/>
        <v>-2</v>
      </c>
      <c r="H19" s="17">
        <v>136000</v>
      </c>
      <c r="I19" s="12">
        <v>17</v>
      </c>
      <c r="J19" s="23">
        <v>14</v>
      </c>
      <c r="K19" s="4">
        <f t="shared" si="0"/>
        <v>8</v>
      </c>
    </row>
    <row r="20" spans="2:11" ht="15">
      <c r="B20" s="3" t="s">
        <v>12</v>
      </c>
      <c r="C20" s="12">
        <v>4</v>
      </c>
      <c r="D20" s="12"/>
      <c r="E20" s="4">
        <f t="shared" si="1"/>
        <v>4</v>
      </c>
      <c r="H20" s="16">
        <v>153000</v>
      </c>
      <c r="I20" s="24">
        <v>18</v>
      </c>
      <c r="J20" s="25">
        <v>15</v>
      </c>
      <c r="K20" s="6">
        <f t="shared" si="0"/>
        <v>9</v>
      </c>
    </row>
    <row r="21" spans="2:11" ht="15">
      <c r="B21" s="5" t="s">
        <v>14</v>
      </c>
      <c r="C21" s="11">
        <v>0</v>
      </c>
      <c r="D21" s="11">
        <v>2</v>
      </c>
      <c r="E21" s="6">
        <f t="shared" si="1"/>
        <v>2</v>
      </c>
      <c r="H21" s="17">
        <v>171000</v>
      </c>
      <c r="I21" s="12">
        <v>19</v>
      </c>
      <c r="J21" s="23">
        <v>15</v>
      </c>
      <c r="K21" s="4">
        <f t="shared" si="0"/>
        <v>9</v>
      </c>
    </row>
    <row r="22" spans="2:11" ht="15">
      <c r="B22" s="13" t="s">
        <v>16</v>
      </c>
      <c r="C22" s="14">
        <v>0</v>
      </c>
      <c r="D22" s="14"/>
      <c r="E22" s="19">
        <f t="shared" si="1"/>
        <v>0</v>
      </c>
      <c r="H22" s="20">
        <v>190000</v>
      </c>
      <c r="I22" s="26">
        <v>20</v>
      </c>
      <c r="J22" s="27">
        <v>16</v>
      </c>
      <c r="K22" s="8">
        <f t="shared" si="0"/>
        <v>10</v>
      </c>
    </row>
  </sheetData>
  <mergeCells count="1">
    <mergeCell ref="B2:C2"/>
  </mergeCell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Ligma</vt:lpstr>
      <vt:lpstr>Poderes</vt:lpstr>
      <vt:lpstr>Testes</vt:lpstr>
      <vt:lpstr>Livro de Fórmulas</vt:lpstr>
      <vt:lpstr>Inventário</vt:lpstr>
      <vt:lpstr>Perícias</vt:lpstr>
      <vt:lpstr>Perícias (Cópia)</vt:lpstr>
      <vt:lpstr>uns dados aí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Luciano Segundo</cp:lastModifiedBy>
  <dcterms:created xsi:type="dcterms:W3CDTF">2024-07-27T08:21:00Z</dcterms:created>
  <dcterms:modified xsi:type="dcterms:W3CDTF">2026-03-20T08:07:42Z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