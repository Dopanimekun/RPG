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15" activeTab="3"/>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<sst xmlns="http://schemas.openxmlformats.org/spreadsheetml/2006/main" count="560" uniqueCount="191">
  <si>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</si>
  <si>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</si>
  <si>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</si>
  <si>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</si>
  <si>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</si>
  <si>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</si>
  <si>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</si>
  <si>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</si>
  <si>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</si>
  <si>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</si>
  <si>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</si>
  <si>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</si>
  <si>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</si>
  <si>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</si>
  <si>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</si>
  <si>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</si>
  <si>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</si>
  <si>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</si>
  <si>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</si>
  <si>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</si>
  <si>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</si>
  <si>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</si>
  <si>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</si>
  <si>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</si>
  <si>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</si>
  <si>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</si>
  <si>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</si>
  <si>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</si>
  <si>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</si>
  <si>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</si>
  <si>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Alabarda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</si>
  <si>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</si>
  <si>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</si>
  <si>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</si>
  <si>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</si>
  <si>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</si>
  <si>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</si>
  <si>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</si>
  <si>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</si>
  <si>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</si>
  <si>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</si>
  <si>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</si>
  <si>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</si>
  <si>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</si>
  <si>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</si>
  <si>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</si>
  <si>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</si>
  <si>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</si>
  <si>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</si>
  <si>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</si>
  <si>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</si>
  <si>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</si>
  <si>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</si>
  <si>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</si>
  <si>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</si>
  <si>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</si>
  <si>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</si>
  <si>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</si>
  <si>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</si>
  <si>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</si>
  <si>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</si>
  <si>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</si>
  <si>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</si>
  <si>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</si>
  <si>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</si>
  <si>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</si>
  <si>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</si>
  <si>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</si>
  <si>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</si>
  <si>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</si>
  <si>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</si>
  <si>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</si>
  <si>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</si>
  <si>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</si>
  <si>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</si>
  <si>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</si>
  <si>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</si>
  <si>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</si>
  <si>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</si>
  <si>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</si>
  <si>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</si>
  <si>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</si>
  <si>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</si>
  <si>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</si>
  <si>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</si>
  <si>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</si>
  <si>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</si>
  <si>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</si>
  <si>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</si>
  <si>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</si>
  <si>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</si>
  <si>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</si>
  <si>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</si>
  <si>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</si>
  <si>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</si>
  <si>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</si>
  <si>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</si>
  <si>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</si>
  <si>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</si>
  <si>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</si>
  <si>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</si>
  <si>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</si>
  <si>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</si>
  <si>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</si>
  <si>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</si>
  <si>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</si>
  <si>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</si>
  <si>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</si>
  <si>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</si>
  <si>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</si>
  <si>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</si>
  <si>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</si>
  <si>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</si>
  <si>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1d12</t>
  </si>
  <si>
    <t>Material Especial (adamante)</t>
  </si>
  <si>
    <t>Cortante/Perfurante</t>
  </si>
  <si>
    <t>x3</t>
  </si>
  <si>
    <t>Itens</t>
  </si>
  <si>
    <t>Quantidade</t>
  </si>
  <si>
    <t>Peso Un.</t>
  </si>
  <si>
    <t>Preço Un.</t>
  </si>
  <si>
    <t>Kit de ofício (alquimia)</t>
  </si>
  <si>
    <t>+10 em teste de alquimia</t>
  </si>
  <si>
    <t>poçao vida</t>
  </si>
  <si>
    <t>2d8+2</t>
  </si>
  <si>
    <t>Curar ferimentos</t>
  </si>
  <si>
    <t>Imagem espelhada</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</si>
  <si>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</si>
  <si>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</si>
  <si>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</si>
  <si>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</si>
  <si>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</si>
  <si>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</si>
  <si>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</si>
  <si>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</si>
  <si>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</si>
  <si>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</si>
  <si>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</si>
  <si>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</si>
  <si>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</si>
  <si>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</si>
  <si>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</si>
  <si>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</si>
  <si>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</si>
  <si>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</si>
  <si>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</si>
  <si>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</si>
  <si>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</si>
  <si>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</si>
  <si>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</si>
  <si>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</si>
  <si>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</si>
  <si>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</si>
  <si>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</si>
  <si>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</si>
  <si>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</si>
  <si>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</si>
  <si>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</si>
  <si>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</si>
  <si>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</si>
  <si>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</si>
  <si>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</si>
  <si>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</si>
  <si>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</si>
  <si>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</si>
  <si>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</si>
  <si>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</si>
  <si>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</si>
  <si>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</si>
  <si>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</si>
  <si>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</si>
  <si>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</si>
  <si>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</si>
  <si>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</si>
  <si>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</si>
  <si>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</si>
  <si>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</si>
  <si>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</si>
  <si>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</si>
  <si>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</si>
  <si>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</si>
  <si>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</si>
  <si>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 Treinadas</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</si>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</sst>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 #,##0.00_-;\-* #,##0.00_-;_-* &quot;-&quot;??_-;_-@_-"/>
    <numFmt numFmtId="177" formatCode="_-&quot;R$&quot;\ * #,##0_-;\-&quot;R$&quot;\ * #,##0_-;_-&quot;R$&quot;\ * &quot;-&quot;_-;_-@_-"/>
    <numFmt numFmtId="178" formatCode="_-* #,##0_-;\-* #,##0_-;_-* &quot;-&quot;_-;_-@_-"/>
    <numFmt numFmtId="179" formatCode="_-&quot;R$&quot;\ * #,##0.00_-;\-&quot;R$&quot;\ * #,##0.00_-;_-&quot;R$&quot;\ * &quot;-&quot;??_-;_-@_-"/>
  </numFmts>
  <fonts count="28">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0"/>
      <name val="Aptos Narrow"/>
      <charset val="134"/>
      <scheme val="minor"/>
    </font>
    <font>
      <sz val="11"/>
      <color theme="1"/>
      <name val="Aptos Narrow"/>
      <charset val="0"/>
      <scheme val="minor"/>
    </font>
    <font>
      <b/>
      <sz val="11"/>
      <color rgb="FFFA7D00"/>
      <name val="Aptos Narrow"/>
      <charset val="0"/>
      <scheme val="minor"/>
    </font>
    <font>
      <b/>
      <sz val="13"/>
      <color theme="3"/>
      <name val="Aptos Narrow"/>
      <charset val="134"/>
      <scheme val="minor"/>
    </font>
    <font>
      <u/>
      <sz val="11"/>
      <color rgb="FF0000FF"/>
      <name val="Aptos Narrow"/>
      <charset val="0"/>
      <scheme val="minor"/>
    </font>
    <font>
      <sz val="11"/>
      <color theme="0"/>
      <name val="Aptos Narrow"/>
      <charset val="0"/>
      <scheme val="minor"/>
    </font>
    <font>
      <sz val="11"/>
      <color rgb="FFFF0000"/>
      <name val="Aptos Narrow"/>
      <charset val="0"/>
      <scheme val="minor"/>
    </font>
    <font>
      <sz val="11"/>
      <color rgb="FF006100"/>
      <name val="Aptos Narrow"/>
      <charset val="0"/>
      <scheme val="minor"/>
    </font>
    <font>
      <b/>
      <sz val="11"/>
      <color rgb="FF3F3F3F"/>
      <name val="Aptos Narrow"/>
      <charset val="0"/>
      <scheme val="minor"/>
    </font>
    <font>
      <b/>
      <sz val="11"/>
      <color theme="3"/>
      <name val="Aptos Narrow"/>
      <charset val="134"/>
      <scheme val="minor"/>
    </font>
    <font>
      <b/>
      <sz val="15"/>
      <color theme="3"/>
      <name val="Aptos Narrow"/>
      <charset val="134"/>
      <scheme val="minor"/>
    </font>
    <font>
      <u/>
      <sz val="11"/>
      <color rgb="FF800080"/>
      <name val="Aptos Narrow"/>
      <charset val="0"/>
      <scheme val="minor"/>
    </font>
    <font>
      <sz val="11"/>
      <color rgb="FF3F3F76"/>
      <name val="Aptos Narrow"/>
      <charset val="0"/>
      <scheme val="minor"/>
    </font>
    <font>
      <b/>
      <sz val="11"/>
      <color rgb="FFFFFFFF"/>
      <name val="Aptos Narrow"/>
      <charset val="0"/>
      <scheme val="minor"/>
    </font>
    <font>
      <b/>
      <sz val="18"/>
      <color theme="3"/>
      <name val="Aptos Narrow"/>
      <charset val="134"/>
      <scheme val="minor"/>
    </font>
    <font>
      <sz val="11"/>
      <color rgb="FFFA7D00"/>
      <name val="Aptos Narrow"/>
      <charset val="0"/>
      <scheme val="minor"/>
    </font>
    <font>
      <sz val="11"/>
      <color rgb="FF9C0006"/>
      <name val="Aptos Narrow"/>
      <charset val="0"/>
      <scheme val="minor"/>
    </font>
    <font>
      <b/>
      <sz val="11"/>
      <color theme="1"/>
      <name val="Aptos Narrow"/>
      <charset val="0"/>
      <scheme val="minor"/>
    </font>
    <font>
      <i/>
      <sz val="11"/>
      <color rgb="FF7F7F7F"/>
      <name val="Aptos Narrow"/>
      <charset val="0"/>
      <scheme val="minor"/>
    </font>
    <font>
      <sz val="11"/>
      <color rgb="FF9C6500"/>
      <name val="Aptos Narrow"/>
      <charset val="0"/>
      <scheme val="minor"/>
    </font>
    <font>
      <sz val="9"/>
      <name val="Segoe UI"/>
      <charset val="134"/>
    </font>
    <font>
      <sz val="10"/>
      <color rgb="FF000000"/>
      <name val="Aptos Narrow"/>
      <charset val="0"/>
      <scheme val="minor"/>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9" tint="0.799981688894314"/>
        <bgColor indexed="64"/>
      </patternFill>
    </fill>
    <fill>
      <patternFill patternType="solid">
        <fgColor rgb="FFF2F2F2"/>
        <bgColor indexed="64"/>
      </patternFill>
    </fill>
    <fill>
      <patternFill patternType="solid">
        <fgColor theme="8" tint="0.799981688894314"/>
        <bgColor indexed="64"/>
      </patternFill>
    </fill>
    <fill>
      <patternFill patternType="solid">
        <fgColor theme="6" tint="0.799981688894314"/>
        <bgColor indexed="64"/>
      </patternFill>
    </fill>
    <fill>
      <patternFill patternType="solid">
        <fgColor theme="4" tint="0.399975585192419"/>
        <bgColor indexed="64"/>
      </patternFill>
    </fill>
    <fill>
      <patternFill patternType="solid">
        <fgColor rgb="FFFFFFCC"/>
        <bgColor indexed="64"/>
      </patternFill>
    </fill>
    <fill>
      <patternFill patternType="solid">
        <fgColor rgb="FFC6EFCE"/>
        <bgColor indexed="64"/>
      </patternFill>
    </fill>
    <fill>
      <patternFill patternType="solid">
        <fgColor theme="8" tint="0.399975585192419"/>
        <bgColor indexed="64"/>
      </patternFill>
    </fill>
    <fill>
      <patternFill patternType="solid">
        <fgColor theme="5" tint="0.799981688894314"/>
        <bgColor indexed="64"/>
      </patternFill>
    </fill>
    <fill>
      <patternFill patternType="solid">
        <fgColor rgb="FFFFCC99"/>
        <bgColor indexed="64"/>
      </patternFill>
    </fill>
    <fill>
      <patternFill patternType="solid">
        <fgColor theme="7" tint="0.799981688894314"/>
        <bgColor indexed="64"/>
      </patternFill>
    </fill>
    <fill>
      <patternFill patternType="solid">
        <fgColor rgb="FFA5A5A5"/>
        <bgColor indexed="64"/>
      </patternFill>
    </fill>
    <fill>
      <patternFill patternType="solid">
        <fgColor theme="7" tint="0.599993896298105"/>
        <bgColor indexed="64"/>
      </patternFill>
    </fill>
    <fill>
      <patternFill patternType="solid">
        <fgColor theme="4"/>
        <bgColor indexed="64"/>
      </patternFill>
    </fill>
    <fill>
      <patternFill patternType="solid">
        <fgColor theme="7" tint="0.399975585192419"/>
        <bgColor indexed="64"/>
      </patternFill>
    </fill>
    <fill>
      <patternFill patternType="solid">
        <fgColor theme="9" tint="0.399975585192419"/>
        <bgColor indexed="64"/>
      </patternFill>
    </fill>
    <fill>
      <patternFill patternType="solid">
        <fgColor theme="5"/>
        <bgColor indexed="64"/>
      </patternFill>
    </fill>
    <fill>
      <patternFill patternType="solid">
        <fgColor theme="5" tint="0.399975585192419"/>
        <bgColor indexed="64"/>
      </patternFill>
    </fill>
    <fill>
      <patternFill patternType="solid">
        <fgColor rgb="FFFFC7CE"/>
        <bgColor indexed="64"/>
      </patternFill>
    </fill>
    <fill>
      <patternFill patternType="solid">
        <fgColor theme="9" tint="0.599993896298105"/>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8"/>
        <bgColor indexed="64"/>
      </patternFill>
    </fill>
    <fill>
      <patternFill patternType="solid">
        <fgColor theme="9"/>
        <bgColor indexed="64"/>
      </patternFill>
    </fill>
    <fill>
      <patternFill patternType="solid">
        <fgColor theme="7"/>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8" tint="0.599993896298105"/>
        <bgColor indexed="64"/>
      </patternFill>
    </fill>
    <fill>
      <patternFill patternType="solid">
        <fgColor theme="6"/>
        <bgColor indexed="64"/>
      </patternFill>
    </fill>
    <fill>
      <patternFill patternType="solid">
        <fgColor theme="4" tint="0.799981688894314"/>
        <bgColor indexed="64"/>
      </patternFill>
    </fill>
    <fill>
      <patternFill patternType="solid">
        <fgColor rgb="FFFFEB9C"/>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style="thin">
        <color auto="1"/>
      </left>
      <right/>
      <top style="thick">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right style="thick">
        <color auto="1"/>
      </right>
      <top style="thin">
        <color auto="1"/>
      </top>
      <bottom style="thick">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0" fontId="10" fillId="20" borderId="0" applyNumberFormat="0" applyBorder="0" applyAlignment="0" applyProtection="0">
      <alignment vertical="center"/>
    </xf>
    <xf numFmtId="0" fontId="6" fillId="24" borderId="0" applyNumberFormat="0" applyBorder="0" applyAlignment="0" applyProtection="0">
      <alignment vertical="center"/>
    </xf>
    <xf numFmtId="0" fontId="6" fillId="5" borderId="0" applyNumberFormat="0" applyBorder="0" applyAlignment="0" applyProtection="0">
      <alignment vertical="center"/>
    </xf>
    <xf numFmtId="0" fontId="6" fillId="32" borderId="0" applyNumberFormat="0" applyBorder="0" applyAlignment="0" applyProtection="0">
      <alignment vertical="center"/>
    </xf>
    <xf numFmtId="0" fontId="10" fillId="27" borderId="0" applyNumberFormat="0" applyBorder="0" applyAlignment="0" applyProtection="0">
      <alignment vertical="center"/>
    </xf>
    <xf numFmtId="0" fontId="10" fillId="29" borderId="0" applyNumberFormat="0" applyBorder="0" applyAlignment="0" applyProtection="0">
      <alignment vertical="center"/>
    </xf>
    <xf numFmtId="0" fontId="14" fillId="0" borderId="0" applyNumberFormat="0" applyFill="0" applyBorder="0" applyAlignment="0" applyProtection="0">
      <alignment vertical="center"/>
    </xf>
    <xf numFmtId="0" fontId="10" fillId="30" borderId="0" applyNumberFormat="0" applyBorder="0" applyAlignment="0" applyProtection="0">
      <alignment vertical="center"/>
    </xf>
    <xf numFmtId="0" fontId="6" fillId="8" borderId="0" applyNumberFormat="0" applyBorder="0" applyAlignment="0" applyProtection="0">
      <alignment vertical="center"/>
    </xf>
    <xf numFmtId="0" fontId="10" fillId="33" borderId="0" applyNumberFormat="0" applyBorder="0" applyAlignment="0" applyProtection="0">
      <alignment vertical="center"/>
    </xf>
    <xf numFmtId="0" fontId="14" fillId="0" borderId="42" applyNumberFormat="0" applyFill="0" applyAlignment="0" applyProtection="0">
      <alignment vertical="center"/>
    </xf>
    <xf numFmtId="0" fontId="10" fillId="22" borderId="0" applyNumberFormat="0" applyBorder="0" applyAlignment="0" applyProtection="0">
      <alignment vertical="center"/>
    </xf>
    <xf numFmtId="0" fontId="18" fillId="16" borderId="43" applyNumberFormat="0" applyAlignment="0" applyProtection="0">
      <alignment vertical="center"/>
    </xf>
    <xf numFmtId="0" fontId="6" fillId="26" borderId="0" applyNumberFormat="0" applyBorder="0" applyAlignment="0" applyProtection="0">
      <alignment vertical="center"/>
    </xf>
    <xf numFmtId="0" fontId="10" fillId="12" borderId="0" applyNumberFormat="0" applyBorder="0" applyAlignment="0" applyProtection="0">
      <alignment vertical="center"/>
    </xf>
    <xf numFmtId="0" fontId="10" fillId="21" borderId="0" applyNumberFormat="0" applyBorder="0" applyAlignment="0" applyProtection="0">
      <alignment vertical="center"/>
    </xf>
    <xf numFmtId="0" fontId="10" fillId="28" borderId="0" applyNumberFormat="0" applyBorder="0" applyAlignment="0" applyProtection="0">
      <alignment vertical="center"/>
    </xf>
    <xf numFmtId="0" fontId="6" fillId="25" borderId="0" applyNumberFormat="0" applyBorder="0" applyAlignment="0" applyProtection="0">
      <alignment vertical="center"/>
    </xf>
    <xf numFmtId="0" fontId="6" fillId="34" borderId="0" applyNumberFormat="0" applyBorder="0" applyAlignment="0" applyProtection="0">
      <alignment vertical="center"/>
    </xf>
    <xf numFmtId="0" fontId="10" fillId="19" borderId="0" applyNumberFormat="0" applyBorder="0" applyAlignment="0" applyProtection="0">
      <alignment vertical="center"/>
    </xf>
    <xf numFmtId="0" fontId="10" fillId="18" borderId="0" applyNumberFormat="0" applyBorder="0" applyAlignment="0" applyProtection="0">
      <alignment vertical="center"/>
    </xf>
    <xf numFmtId="0" fontId="6" fillId="17" borderId="0" applyNumberFormat="0" applyBorder="0" applyAlignment="0" applyProtection="0">
      <alignment vertical="center"/>
    </xf>
    <xf numFmtId="0" fontId="21" fillId="23" borderId="0" applyNumberFormat="0" applyBorder="0" applyAlignment="0" applyProtection="0">
      <alignment vertical="center"/>
    </xf>
    <xf numFmtId="0" fontId="6" fillId="15" borderId="0" applyNumberFormat="0" applyBorder="0" applyAlignment="0" applyProtection="0">
      <alignment vertical="center"/>
    </xf>
    <xf numFmtId="0" fontId="13" fillId="6" borderId="41" applyNumberFormat="0" applyAlignment="0" applyProtection="0">
      <alignment vertical="center"/>
    </xf>
    <xf numFmtId="0" fontId="16" fillId="0" borderId="0" applyNumberFormat="0" applyFill="0" applyBorder="0" applyAlignment="0" applyProtection="0">
      <alignment vertical="center"/>
    </xf>
    <xf numFmtId="177" fontId="0" fillId="0" borderId="0" applyFont="0" applyFill="0" applyBorder="0" applyAlignment="0" applyProtection="0">
      <alignment vertical="center"/>
    </xf>
    <xf numFmtId="0" fontId="22" fillId="0" borderId="45" applyNumberFormat="0" applyFill="0" applyAlignment="0" applyProtection="0">
      <alignment vertical="center"/>
    </xf>
    <xf numFmtId="0" fontId="12" fillId="11" borderId="0" applyNumberFormat="0" applyBorder="0" applyAlignment="0" applyProtection="0">
      <alignment vertical="center"/>
    </xf>
    <xf numFmtId="0" fontId="6" fillId="31" borderId="0" applyNumberFormat="0" applyBorder="0" applyAlignment="0" applyProtection="0">
      <alignment vertical="center"/>
    </xf>
    <xf numFmtId="0" fontId="11" fillId="0" borderId="0" applyNumberFormat="0" applyFill="0" applyBorder="0" applyAlignment="0" applyProtection="0">
      <alignment vertical="center"/>
    </xf>
    <xf numFmtId="0" fontId="7" fillId="6" borderId="38" applyNumberFormat="0" applyAlignment="0" applyProtection="0">
      <alignment vertical="center"/>
    </xf>
    <xf numFmtId="0" fontId="17" fillId="14" borderId="38" applyNumberFormat="0" applyAlignment="0" applyProtection="0">
      <alignment vertical="center"/>
    </xf>
    <xf numFmtId="0" fontId="23" fillId="0" borderId="0" applyNumberFormat="0" applyFill="0" applyBorder="0" applyAlignment="0" applyProtection="0">
      <alignment vertical="center"/>
    </xf>
    <xf numFmtId="0" fontId="15" fillId="0" borderId="39" applyNumberFormat="0" applyFill="0" applyAlignment="0" applyProtection="0">
      <alignment vertical="center"/>
    </xf>
    <xf numFmtId="0" fontId="19" fillId="0" borderId="0" applyNumberFormat="0" applyFill="0" applyBorder="0" applyAlignment="0" applyProtection="0">
      <alignment vertical="center"/>
    </xf>
    <xf numFmtId="0" fontId="0" fillId="10" borderId="40" applyNumberFormat="0" applyFont="0" applyAlignment="0" applyProtection="0">
      <alignment vertical="center"/>
    </xf>
    <xf numFmtId="0" fontId="6" fillId="13" borderId="0" applyNumberFormat="0" applyBorder="0" applyAlignment="0" applyProtection="0">
      <alignment vertical="center"/>
    </xf>
    <xf numFmtId="0" fontId="10" fillId="9" borderId="0" applyNumberFormat="0" applyBorder="0" applyAlignment="0" applyProtection="0">
      <alignment vertical="center"/>
    </xf>
    <xf numFmtId="0" fontId="8" fillId="0" borderId="39" applyNumberFormat="0" applyFill="0" applyAlignment="0" applyProtection="0">
      <alignment vertical="center"/>
    </xf>
    <xf numFmtId="0" fontId="9" fillId="0" borderId="0" applyNumberFormat="0" applyFill="0" applyBorder="0" applyAlignment="0" applyProtection="0">
      <alignment vertical="center"/>
    </xf>
    <xf numFmtId="0" fontId="20" fillId="0" borderId="44" applyNumberFormat="0" applyFill="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24" fillId="35" borderId="0" applyNumberFormat="0" applyBorder="0" applyAlignment="0" applyProtection="0">
      <alignment vertical="center"/>
    </xf>
    <xf numFmtId="0" fontId="6" fillId="7" borderId="0" applyNumberFormat="0" applyBorder="0" applyAlignment="0" applyProtection="0">
      <alignment vertical="center"/>
    </xf>
    <xf numFmtId="179" fontId="0" fillId="0" borderId="0" applyFont="0" applyFill="0" applyBorder="0" applyAlignment="0" applyProtection="0">
      <alignment vertical="center"/>
    </xf>
    <xf numFmtId="178" fontId="0" fillId="0" borderId="0" applyFont="0" applyFill="0" applyBorder="0" applyAlignment="0" applyProtection="0">
      <alignment vertical="center"/>
    </xf>
  </cellStyleXfs>
  <cellXfs count="98">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1" fillId="2" borderId="10" xfId="0" applyFont="1" applyFill="1" applyBorder="1" applyAlignment="1">
      <alignment horizontal="left" vertical="center"/>
    </xf>
    <xf numFmtId="0" fontId="2" fillId="0" borderId="11" xfId="0" applyFont="1" applyBorder="1" applyAlignment="1">
      <alignment horizontal="center" vertical="center"/>
    </xf>
    <xf numFmtId="0" fontId="2" fillId="2" borderId="8"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12" xfId="0" applyFont="1" applyFill="1" applyBorder="1" applyAlignment="1">
      <alignment horizontal="center" vertical="center"/>
    </xf>
    <xf numFmtId="0" fontId="1" fillId="2" borderId="13" xfId="0" applyFont="1" applyFill="1" applyBorder="1" applyAlignment="1">
      <alignment horizontal="center" vertical="center" wrapText="1"/>
    </xf>
    <xf numFmtId="0" fontId="1" fillId="2" borderId="14" xfId="0" applyFont="1" applyFill="1" applyBorder="1" applyAlignment="1">
      <alignment horizontal="center" vertical="center" wrapText="1"/>
    </xf>
    <xf numFmtId="0" fontId="2" fillId="3" borderId="15"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5" xfId="0" applyFont="1" applyFill="1" applyBorder="1" applyAlignment="1">
      <alignment horizontal="center" vertical="center"/>
    </xf>
    <xf numFmtId="0" fontId="2" fillId="3" borderId="1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2" borderId="18"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9"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20"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22" xfId="0" applyFont="1" applyFill="1" applyBorder="1" applyAlignment="1">
      <alignment horizontal="center" vertical="center"/>
    </xf>
    <xf numFmtId="0" fontId="1" fillId="2" borderId="12" xfId="0" applyFont="1" applyFill="1" applyBorder="1" applyAlignment="1">
      <alignment horizontal="center" vertical="center"/>
    </xf>
    <xf numFmtId="0" fontId="1" fillId="2" borderId="23" xfId="0" applyFont="1" applyFill="1" applyBorder="1" applyAlignment="1">
      <alignment horizontal="center" vertical="center"/>
    </xf>
    <xf numFmtId="0" fontId="1" fillId="2" borderId="10"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5" xfId="0" applyFont="1" applyFill="1" applyBorder="1" applyAlignment="1">
      <alignment horizontal="center" vertical="center"/>
    </xf>
    <xf numFmtId="0" fontId="0" fillId="4" borderId="0" xfId="0" applyFill="1"/>
    <xf numFmtId="0" fontId="2" fillId="3" borderId="16" xfId="0" applyFont="1" applyFill="1" applyBorder="1" applyAlignment="1">
      <alignment horizontal="center" vertical="center"/>
    </xf>
    <xf numFmtId="0" fontId="1" fillId="2" borderId="18" xfId="0" applyFont="1" applyFill="1" applyBorder="1" applyAlignment="1">
      <alignment horizontal="center" vertical="center" wrapText="1"/>
    </xf>
    <xf numFmtId="0" fontId="5" fillId="0" borderId="0" xfId="0" applyFont="1" applyFill="1"/>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2" xfId="0" applyFont="1" applyFill="1" applyBorder="1" applyAlignment="1">
      <alignment horizontal="center" vertical="center" wrapText="1"/>
    </xf>
    <xf numFmtId="0" fontId="1" fillId="2" borderId="22"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zoomScale="130" zoomScaleNormal="130" workbookViewId="0">
      <selection activeCell="H25" sqref="H25"/>
    </sheetView>
  </sheetViews>
  <sheetFormatPr defaultColWidth="9" defaultRowHeight="13.5"/>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1" ht="14.25"/>
    <row r="2" ht="15.75" customHeight="1" spans="2:14">
      <c r="B2" s="39" t="s">
        <v>0</v>
      </c>
      <c r="C2" s="52"/>
      <c r="D2" s="40" t="s">
        <v>1</v>
      </c>
      <c r="F2" s="39" t="s">
        <v>2</v>
      </c>
      <c r="G2" s="52">
        <f>VLOOKUP(G10,'uns dados aí'!$H$2:$I$22,2,TRUE)</f>
        <v>6</v>
      </c>
      <c r="H2" s="40"/>
      <c r="K2" s="39" t="s">
        <v>3</v>
      </c>
      <c r="L2" s="52"/>
      <c r="M2" s="52"/>
      <c r="N2" s="40"/>
    </row>
    <row r="3" ht="14.25" spans="2:14">
      <c r="B3" s="42" t="s">
        <v>4</v>
      </c>
      <c r="C3" s="31">
        <f>'uns dados aí'!C3+(VLOOKUP(B3,Perícias!$O$7:$P$13,2,FALSE))</f>
        <v>16</v>
      </c>
      <c r="D3" s="43">
        <f t="shared" ref="D3:D8" si="0">ROUNDDOWN((C3-10)/2,0)</f>
        <v>3</v>
      </c>
      <c r="F3" s="42" t="s">
        <v>5</v>
      </c>
      <c r="G3" s="31">
        <f>H3-L25-SUM(L4:L22)</f>
        <v>33</v>
      </c>
      <c r="H3" s="43">
        <f>'uns dados aí'!N2+((G2-1)*'uns dados aí'!C12)</f>
        <v>33</v>
      </c>
      <c r="K3" s="42" t="s">
        <v>6</v>
      </c>
      <c r="L3" s="31" t="s">
        <v>5</v>
      </c>
      <c r="M3" s="31" t="s">
        <v>7</v>
      </c>
      <c r="N3" s="43" t="s">
        <v>8</v>
      </c>
    </row>
    <row r="4" ht="15" spans="2:14">
      <c r="B4" s="45" t="s">
        <v>9</v>
      </c>
      <c r="C4" s="33">
        <f>'uns dados aí'!C4+(VLOOKUP(B4,Perícias!$O$7:$P$13,2,FALSE))</f>
        <v>14</v>
      </c>
      <c r="D4" s="46">
        <f t="shared" si="0"/>
        <v>2</v>
      </c>
      <c r="F4" s="45" t="s">
        <v>7</v>
      </c>
      <c r="G4" s="33">
        <f>H4-L26-SUM(M4:M22)</f>
        <v>30</v>
      </c>
      <c r="H4" s="46">
        <f>'uns dados aí'!C13*G2</f>
        <v>30</v>
      </c>
      <c r="K4" s="45">
        <v>1</v>
      </c>
      <c r="L4" s="33"/>
      <c r="M4" s="33"/>
      <c r="N4" s="46"/>
    </row>
    <row r="5" ht="14.25" spans="2:14">
      <c r="B5" s="42" t="s">
        <v>10</v>
      </c>
      <c r="C5" s="31">
        <f>'uns dados aí'!C5+(VLOOKUP(B5,Perícias!$O$7:$P$13,2,FALSE))</f>
        <v>12</v>
      </c>
      <c r="D5" s="43">
        <f t="shared" si="0"/>
        <v>1</v>
      </c>
      <c r="F5" s="42" t="s">
        <v>11</v>
      </c>
      <c r="G5" s="41">
        <f>10+D4+C16</f>
        <v>22</v>
      </c>
      <c r="H5" s="94"/>
      <c r="K5" s="42">
        <v>2</v>
      </c>
      <c r="L5" s="31"/>
      <c r="M5" s="31"/>
      <c r="N5" s="43"/>
    </row>
    <row r="6" ht="15" spans="2:14">
      <c r="B6" s="45" t="s">
        <v>12</v>
      </c>
      <c r="C6" s="33">
        <f>'uns dados aí'!C6+(VLOOKUP(B6,Perícias!$O$7:$P$13,2,FALSE))</f>
        <v>22</v>
      </c>
      <c r="D6" s="46">
        <f t="shared" si="0"/>
        <v>6</v>
      </c>
      <c r="F6" s="45" t="s">
        <v>13</v>
      </c>
      <c r="G6" s="44">
        <f>G5+Perícias!J12</f>
        <v>31</v>
      </c>
      <c r="H6" s="95"/>
      <c r="K6" s="45">
        <v>3</v>
      </c>
      <c r="L6" s="33"/>
      <c r="M6" s="33"/>
      <c r="N6" s="46"/>
    </row>
    <row r="7" ht="14.25" spans="2:14">
      <c r="B7" s="42" t="s">
        <v>14</v>
      </c>
      <c r="C7" s="31">
        <f>'uns dados aí'!C7+(VLOOKUP(B7,Perícias!$O$7:$P$13,2,FALSE))</f>
        <v>18</v>
      </c>
      <c r="D7" s="43">
        <f t="shared" si="0"/>
        <v>4</v>
      </c>
      <c r="F7" s="42" t="s">
        <v>15</v>
      </c>
      <c r="G7" s="41">
        <f>Perícias!J27+Perícias!J21</f>
        <v>25</v>
      </c>
      <c r="H7" s="94"/>
      <c r="K7" s="42">
        <v>4</v>
      </c>
      <c r="L7" s="31"/>
      <c r="M7" s="31"/>
      <c r="N7" s="43"/>
    </row>
    <row r="8" ht="15.75" spans="2:14">
      <c r="B8" s="49" t="s">
        <v>16</v>
      </c>
      <c r="C8" s="56">
        <f>'uns dados aí'!C8+(VLOOKUP(B8,Perícias!$O$7:$P$13,2,FALSE))</f>
        <v>12</v>
      </c>
      <c r="D8" s="50">
        <f t="shared" si="0"/>
        <v>1</v>
      </c>
      <c r="F8" s="45" t="s">
        <v>17</v>
      </c>
      <c r="G8" s="96">
        <v>0.5</v>
      </c>
      <c r="H8" s="97"/>
      <c r="K8" s="45">
        <v>5</v>
      </c>
      <c r="L8" s="33"/>
      <c r="M8" s="33"/>
      <c r="N8" s="46"/>
    </row>
    <row r="9" ht="15" spans="6:14">
      <c r="F9" s="42" t="s">
        <v>18</v>
      </c>
      <c r="G9" s="31">
        <v>682</v>
      </c>
      <c r="H9" s="43"/>
      <c r="K9" s="42">
        <v>6</v>
      </c>
      <c r="L9" s="31"/>
      <c r="M9" s="31"/>
      <c r="N9" s="43"/>
    </row>
    <row r="10" ht="15.75" spans="6:14">
      <c r="F10" s="49" t="s">
        <v>19</v>
      </c>
      <c r="G10" s="56">
        <v>15000</v>
      </c>
      <c r="H10" s="50"/>
      <c r="K10" s="45">
        <v>7</v>
      </c>
      <c r="L10" s="33"/>
      <c r="M10" s="33"/>
      <c r="N10" s="46"/>
    </row>
    <row r="11" ht="15.75" spans="11:14">
      <c r="K11" s="42">
        <v>8</v>
      </c>
      <c r="L11" s="31"/>
      <c r="M11" s="31"/>
      <c r="N11" s="43"/>
    </row>
    <row r="12" ht="16.5" spans="2:14">
      <c r="B12" s="76" t="s">
        <v>20</v>
      </c>
      <c r="C12" s="77"/>
      <c r="D12" s="77"/>
      <c r="E12" s="77"/>
      <c r="F12" s="77"/>
      <c r="G12" s="77"/>
      <c r="H12" s="77"/>
      <c r="I12" s="78"/>
      <c r="K12" s="45">
        <v>9</v>
      </c>
      <c r="L12" s="33"/>
      <c r="M12" s="33"/>
      <c r="N12" s="46"/>
    </row>
    <row r="13" ht="15.75" spans="2:14">
      <c r="B13" s="93"/>
      <c r="K13" s="42">
        <v>10</v>
      </c>
      <c r="L13" s="31"/>
      <c r="M13" s="31"/>
      <c r="N13" s="43"/>
    </row>
    <row r="14" ht="15.75" spans="2:14">
      <c r="B14" s="39" t="s">
        <v>21</v>
      </c>
      <c r="C14" s="52"/>
      <c r="D14" s="40"/>
      <c r="F14" s="39" t="s">
        <v>22</v>
      </c>
      <c r="G14" s="52"/>
      <c r="H14" s="52"/>
      <c r="I14" s="40"/>
      <c r="K14" s="45">
        <v>11</v>
      </c>
      <c r="L14" s="33"/>
      <c r="M14" s="33"/>
      <c r="N14" s="46"/>
    </row>
    <row r="15" ht="14.25" spans="2:14">
      <c r="B15" s="42" t="s">
        <v>23</v>
      </c>
      <c r="C15" s="31" t="s">
        <v>24</v>
      </c>
      <c r="D15" s="43" t="s">
        <v>25</v>
      </c>
      <c r="F15" s="42" t="s">
        <v>23</v>
      </c>
      <c r="G15" s="31" t="s">
        <v>26</v>
      </c>
      <c r="H15" s="31" t="s">
        <v>27</v>
      </c>
      <c r="I15" s="43" t="s">
        <v>28</v>
      </c>
      <c r="K15" s="42">
        <v>12</v>
      </c>
      <c r="L15" s="31"/>
      <c r="M15" s="31"/>
      <c r="N15" s="43"/>
    </row>
    <row r="16" ht="30.75" spans="2:14">
      <c r="B16" s="49" t="s">
        <v>29</v>
      </c>
      <c r="C16" s="56">
        <f>IFERROR(VLOOKUP($B$16,Inventário!$B$3:$F$5,2,FALSE),"")</f>
        <v>10</v>
      </c>
      <c r="D16" s="50">
        <f>IFERROR(VLOOKUP($B$16,Inventário!$B$3:$F$5,3,FALSE),"")</f>
        <v>10</v>
      </c>
      <c r="F16" s="49" t="s">
        <v>30</v>
      </c>
      <c r="G16" s="56" t="str">
        <f>IFERROR(VLOOKUP($F$16,Inventário!$B$8:$H$13,2,FALSE),"")</f>
        <v>1d12</v>
      </c>
      <c r="H16" s="56">
        <f>IFERROR(VLOOKUP($F$16,Inventário!$B$8:$H$13,4,FALSE),"")</f>
        <v>0</v>
      </c>
      <c r="I16" s="50" t="str">
        <f>IFERROR(VLOOKUP($F$16,Inventário!$B$8:$H$13,7,FALSE),"")</f>
        <v>x3</v>
      </c>
      <c r="K16" s="45">
        <v>13</v>
      </c>
      <c r="L16" s="33"/>
      <c r="M16" s="33"/>
      <c r="N16" s="46"/>
    </row>
    <row r="17" ht="15" spans="11:14">
      <c r="K17" s="42">
        <v>14</v>
      </c>
      <c r="L17" s="31"/>
      <c r="M17" s="31"/>
      <c r="N17" s="43"/>
    </row>
    <row r="18" ht="15.75" customHeight="1" spans="11:14">
      <c r="K18" s="45">
        <v>15</v>
      </c>
      <c r="L18" s="33"/>
      <c r="M18" s="33"/>
      <c r="N18" s="46"/>
    </row>
    <row r="19" ht="14.25" spans="11:14">
      <c r="K19" s="42">
        <v>16</v>
      </c>
      <c r="L19" s="31"/>
      <c r="M19" s="31"/>
      <c r="N19" s="43"/>
    </row>
    <row r="20" ht="15" spans="11:14">
      <c r="K20" s="45">
        <v>17</v>
      </c>
      <c r="L20" s="33"/>
      <c r="M20" s="33"/>
      <c r="N20" s="46"/>
    </row>
    <row r="21" ht="14.25" spans="11:14">
      <c r="K21" s="42">
        <v>18</v>
      </c>
      <c r="L21" s="31"/>
      <c r="M21" s="31"/>
      <c r="N21" s="43"/>
    </row>
    <row r="22" ht="15.75" customHeight="1" spans="11:14">
      <c r="K22" s="49">
        <v>20</v>
      </c>
      <c r="L22" s="56"/>
      <c r="M22" s="56"/>
      <c r="N22" s="50"/>
    </row>
    <row r="23" ht="15"/>
    <row r="24" ht="15.75" spans="11:12">
      <c r="K24" s="39" t="s">
        <v>31</v>
      </c>
      <c r="L24" s="40"/>
    </row>
    <row r="25" ht="14.25" spans="11:12">
      <c r="K25" s="42" t="s">
        <v>5</v>
      </c>
      <c r="L25" s="43"/>
    </row>
    <row r="26" ht="15.75" spans="11:12">
      <c r="K26" s="49" t="s">
        <v>7</v>
      </c>
      <c r="L26" s="50"/>
    </row>
    <row r="27" ht="14.2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zoomScale="130" zoomScaleNormal="130" workbookViewId="0">
      <selection activeCell="D10" sqref="D10:E10"/>
    </sheetView>
  </sheetViews>
  <sheetFormatPr defaultColWidth="9" defaultRowHeight="13.5"/>
  <cols>
    <col min="12" max="12" width="19.75" customWidth="1"/>
    <col min="13" max="13" width="12.25" customWidth="1"/>
    <col min="14" max="14" width="12.125" customWidth="1"/>
  </cols>
  <sheetData>
    <row r="1" ht="16.5" spans="1:15">
      <c r="A1" s="76" t="s">
        <v>32</v>
      </c>
      <c r="B1" s="77"/>
      <c r="C1" s="77"/>
      <c r="D1" s="77"/>
      <c r="E1" s="77"/>
      <c r="F1" s="77"/>
      <c r="G1" s="78"/>
      <c r="I1" s="76" t="s">
        <v>33</v>
      </c>
      <c r="J1" s="77"/>
      <c r="K1" s="77"/>
      <c r="L1" s="77"/>
      <c r="M1" s="77"/>
      <c r="N1" s="77"/>
      <c r="O1" s="78"/>
    </row>
    <row r="2" ht="15"/>
    <row r="3" ht="15.75" spans="2:13">
      <c r="B3" s="39" t="s">
        <v>34</v>
      </c>
      <c r="C3" s="52"/>
      <c r="D3" s="52" t="s">
        <v>35</v>
      </c>
      <c r="E3" s="52"/>
      <c r="F3" s="40"/>
      <c r="K3" s="80" t="s">
        <v>36</v>
      </c>
      <c r="L3" s="81" t="s">
        <v>37</v>
      </c>
      <c r="M3" s="89" t="s">
        <v>24</v>
      </c>
    </row>
    <row r="4" ht="15" customHeight="1" spans="2:13">
      <c r="B4" s="42" t="s">
        <v>38</v>
      </c>
      <c r="C4" s="31"/>
      <c r="D4" s="31" t="s">
        <v>39</v>
      </c>
      <c r="E4" s="31"/>
      <c r="F4" s="43" t="s">
        <v>40</v>
      </c>
      <c r="K4" s="82" t="s">
        <v>41</v>
      </c>
      <c r="L4" s="83" t="s">
        <v>42</v>
      </c>
      <c r="M4" s="90"/>
    </row>
    <row r="5" ht="15" customHeight="1" spans="2:13">
      <c r="B5" s="45" t="s">
        <v>43</v>
      </c>
      <c r="C5" s="44"/>
      <c r="D5" s="33" t="s">
        <v>44</v>
      </c>
      <c r="E5" s="33"/>
      <c r="F5" s="46" t="s">
        <v>40</v>
      </c>
      <c r="K5" s="84" t="s">
        <v>41</v>
      </c>
      <c r="L5" s="85" t="s">
        <v>45</v>
      </c>
      <c r="M5" s="91"/>
    </row>
    <row r="6" ht="15" customHeight="1" spans="2:13">
      <c r="B6" s="42" t="s">
        <v>46</v>
      </c>
      <c r="C6" s="41"/>
      <c r="D6" s="31" t="s">
        <v>47</v>
      </c>
      <c r="E6" s="31"/>
      <c r="F6" s="43" t="s">
        <v>40</v>
      </c>
      <c r="K6" s="82" t="s">
        <v>41</v>
      </c>
      <c r="L6" s="83" t="s">
        <v>48</v>
      </c>
      <c r="M6" s="90"/>
    </row>
    <row r="7" ht="15" spans="2:13">
      <c r="B7" s="45" t="s">
        <v>49</v>
      </c>
      <c r="C7" s="33"/>
      <c r="D7" s="33" t="s">
        <v>50</v>
      </c>
      <c r="E7" s="33"/>
      <c r="F7" s="46" t="s">
        <v>40</v>
      </c>
      <c r="K7" s="84" t="s">
        <v>51</v>
      </c>
      <c r="L7" s="85" t="s">
        <v>52</v>
      </c>
      <c r="M7" s="91"/>
    </row>
    <row r="8" ht="14.25" spans="2:13">
      <c r="B8" s="42" t="s">
        <v>53</v>
      </c>
      <c r="C8" s="31"/>
      <c r="D8" s="31" t="s">
        <v>54</v>
      </c>
      <c r="E8" s="31"/>
      <c r="F8" s="43" t="s">
        <v>40</v>
      </c>
      <c r="K8" s="82" t="s">
        <v>55</v>
      </c>
      <c r="L8" s="86" t="s">
        <v>56</v>
      </c>
      <c r="M8" s="90"/>
    </row>
    <row r="9" ht="15" spans="2:13">
      <c r="B9" s="45" t="s">
        <v>57</v>
      </c>
      <c r="C9" s="33"/>
      <c r="D9" s="33" t="s">
        <v>58</v>
      </c>
      <c r="E9" s="33"/>
      <c r="F9" s="46" t="s">
        <v>40</v>
      </c>
      <c r="K9" s="84"/>
      <c r="L9" s="85"/>
      <c r="M9" s="91"/>
    </row>
    <row r="10" ht="15" customHeight="1" spans="2:13">
      <c r="B10" s="42" t="s">
        <v>59</v>
      </c>
      <c r="C10" s="31"/>
      <c r="D10" s="31" t="s">
        <v>50</v>
      </c>
      <c r="E10" s="31"/>
      <c r="F10" s="43" t="s">
        <v>40</v>
      </c>
      <c r="K10" s="82"/>
      <c r="L10" s="83"/>
      <c r="M10" s="90"/>
    </row>
    <row r="11" ht="15" spans="2:13">
      <c r="B11" s="45" t="s">
        <v>60</v>
      </c>
      <c r="C11" s="33"/>
      <c r="D11" s="33" t="s">
        <v>61</v>
      </c>
      <c r="E11" s="33"/>
      <c r="F11" s="46" t="s">
        <v>40</v>
      </c>
      <c r="K11" s="84"/>
      <c r="L11" s="85"/>
      <c r="M11" s="91"/>
    </row>
    <row r="12" ht="14.25" spans="2:13">
      <c r="B12" s="42" t="s">
        <v>62</v>
      </c>
      <c r="C12" s="31"/>
      <c r="D12" s="31" t="s">
        <v>63</v>
      </c>
      <c r="E12" s="31"/>
      <c r="F12" s="43" t="s">
        <v>40</v>
      </c>
      <c r="K12" s="82"/>
      <c r="L12" s="83"/>
      <c r="M12" s="90"/>
    </row>
    <row r="13" ht="15" spans="2:13">
      <c r="B13" s="45" t="s">
        <v>64</v>
      </c>
      <c r="C13" s="33"/>
      <c r="D13" s="33" t="s">
        <v>65</v>
      </c>
      <c r="E13" s="33"/>
      <c r="F13" s="46" t="s">
        <v>66</v>
      </c>
      <c r="G13" s="79"/>
      <c r="K13" s="84"/>
      <c r="L13" s="85"/>
      <c r="M13" s="91"/>
    </row>
    <row r="14" ht="14.25" spans="2:13">
      <c r="B14" s="42" t="s">
        <v>67</v>
      </c>
      <c r="C14" s="31"/>
      <c r="D14" s="31"/>
      <c r="E14" s="31"/>
      <c r="F14" s="43"/>
      <c r="K14" s="82"/>
      <c r="L14" s="83"/>
      <c r="M14" s="90"/>
    </row>
    <row r="15" ht="15" spans="2:13">
      <c r="B15" s="45" t="s">
        <v>68</v>
      </c>
      <c r="C15" s="33"/>
      <c r="D15" s="33"/>
      <c r="E15" s="33"/>
      <c r="F15" s="46"/>
      <c r="K15" s="84"/>
      <c r="L15" s="85"/>
      <c r="M15" s="91"/>
    </row>
    <row r="16" ht="14.25" spans="2:13">
      <c r="B16" s="42" t="s">
        <v>69</v>
      </c>
      <c r="C16" s="31"/>
      <c r="D16" s="31"/>
      <c r="E16" s="31"/>
      <c r="F16" s="43"/>
      <c r="K16" s="82"/>
      <c r="L16" s="83"/>
      <c r="M16" s="90"/>
    </row>
    <row r="17" ht="15" spans="2:13">
      <c r="B17" s="45" t="s">
        <v>70</v>
      </c>
      <c r="C17" s="33"/>
      <c r="D17" s="33"/>
      <c r="E17" s="33"/>
      <c r="F17" s="46"/>
      <c r="K17" s="84"/>
      <c r="L17" s="85"/>
      <c r="M17" s="91"/>
    </row>
    <row r="18" ht="14.25" spans="2:13">
      <c r="B18" s="42" t="s">
        <v>71</v>
      </c>
      <c r="C18" s="31"/>
      <c r="D18" s="31"/>
      <c r="E18" s="31"/>
      <c r="F18" s="43"/>
      <c r="K18" s="82"/>
      <c r="L18" s="83"/>
      <c r="M18" s="90"/>
    </row>
    <row r="19" ht="15" spans="2:13">
      <c r="B19" s="45" t="s">
        <v>72</v>
      </c>
      <c r="C19" s="33"/>
      <c r="D19" s="33"/>
      <c r="E19" s="33"/>
      <c r="F19" s="46"/>
      <c r="K19" s="84"/>
      <c r="L19" s="85"/>
      <c r="M19" s="91"/>
    </row>
    <row r="20" ht="14.25" spans="2:13">
      <c r="B20" s="42" t="s">
        <v>73</v>
      </c>
      <c r="C20" s="31"/>
      <c r="D20" s="31"/>
      <c r="E20" s="31"/>
      <c r="F20" s="43"/>
      <c r="K20" s="82"/>
      <c r="L20" s="83"/>
      <c r="M20" s="90"/>
    </row>
    <row r="21" ht="15" spans="2:13">
      <c r="B21" s="45" t="s">
        <v>74</v>
      </c>
      <c r="C21" s="33"/>
      <c r="D21" s="33"/>
      <c r="E21" s="33"/>
      <c r="F21" s="46"/>
      <c r="K21" s="84"/>
      <c r="L21" s="85"/>
      <c r="M21" s="91"/>
    </row>
    <row r="22" ht="15" spans="2:13">
      <c r="B22" s="47" t="s">
        <v>75</v>
      </c>
      <c r="C22" s="53"/>
      <c r="D22" s="53"/>
      <c r="E22" s="53"/>
      <c r="F22" s="48"/>
      <c r="K22" s="87"/>
      <c r="L22" s="88"/>
      <c r="M22" s="92"/>
    </row>
    <row r="23" ht="14.2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3.5" outlineLevelCol="7"/>
  <cols>
    <col min="2" max="2" width="13.875" customWidth="1"/>
    <col min="7" max="7" width="8.375" customWidth="1"/>
  </cols>
  <sheetData>
    <row r="1" ht="14.25"/>
    <row r="2" ht="15.75" spans="2:8">
      <c r="B2" s="39" t="s">
        <v>0</v>
      </c>
      <c r="C2" s="52" t="s">
        <v>76</v>
      </c>
      <c r="D2" s="52" t="s">
        <v>77</v>
      </c>
      <c r="E2" s="40" t="s">
        <v>78</v>
      </c>
      <c r="G2" s="54" t="s">
        <v>76</v>
      </c>
      <c r="H2" s="68"/>
    </row>
    <row r="3" ht="15" spans="2:8">
      <c r="B3" s="42" t="str">
        <f>Tabela1[[#This Row],[Perícia]]</f>
        <v>Acrobacia</v>
      </c>
      <c r="C3" s="31">
        <f>Tabela1[[#This Row],[Total]]</f>
        <v>-5</v>
      </c>
      <c r="D3" s="31">
        <f ca="1">RANDBETWEEN(1,20)</f>
        <v>13</v>
      </c>
      <c r="E3" s="43">
        <f ca="1">SUM(C3:D3)</f>
        <v>8</v>
      </c>
      <c r="G3" s="47" t="s">
        <v>79</v>
      </c>
      <c r="H3" s="48">
        <f ca="1">VLOOKUP(G3,B2:E31,4,FALSE)</f>
        <v>24</v>
      </c>
    </row>
    <row r="4" ht="15.75" spans="2:5">
      <c r="B4" s="45" t="str">
        <f>Tabela1[[#This Row],[Perícia]]</f>
        <v>Adestramento</v>
      </c>
      <c r="C4" s="33">
        <f>Tabela1[[#This Row],[Total]]</f>
        <v>4</v>
      </c>
      <c r="D4" s="33">
        <f ca="1" t="shared" ref="D4:D31" si="0">RANDBETWEEN(1,20)</f>
        <v>11</v>
      </c>
      <c r="E4" s="46">
        <f ca="1" t="shared" ref="E4:E31" si="1">SUM(C4:D4)</f>
        <v>15</v>
      </c>
    </row>
    <row r="5" ht="14.25" spans="2:5">
      <c r="B5" s="42" t="str">
        <f>Tabela1[[#This Row],[Perícia]]</f>
        <v>Atletismo</v>
      </c>
      <c r="C5" s="31">
        <f>Tabela1[[#This Row],[Total]]</f>
        <v>6</v>
      </c>
      <c r="D5" s="31">
        <f ca="1" t="shared" si="0"/>
        <v>5</v>
      </c>
      <c r="E5" s="43">
        <f ca="1" t="shared" si="1"/>
        <v>11</v>
      </c>
    </row>
    <row r="6" ht="15" spans="2:5">
      <c r="B6" s="45" t="str">
        <f>Tabela1[[#This Row],[Perícia]]</f>
        <v>Atuação</v>
      </c>
      <c r="C6" s="33">
        <f>Tabela1[[#This Row],[Total]]</f>
        <v>4</v>
      </c>
      <c r="D6" s="33">
        <f ca="1" t="shared" si="0"/>
        <v>15</v>
      </c>
      <c r="E6" s="46">
        <f ca="1" t="shared" si="1"/>
        <v>19</v>
      </c>
    </row>
    <row r="7" ht="14.25" spans="2:5">
      <c r="B7" s="42" t="str">
        <f>Tabela1[[#This Row],[Perícia]]</f>
        <v>Cavalgar</v>
      </c>
      <c r="C7" s="31">
        <f>Tabela1[[#This Row],[Total]]</f>
        <v>5</v>
      </c>
      <c r="D7" s="31">
        <f ca="1" t="shared" si="0"/>
        <v>18</v>
      </c>
      <c r="E7" s="43">
        <f ca="1" t="shared" si="1"/>
        <v>23</v>
      </c>
    </row>
    <row r="8" ht="15" spans="2:5">
      <c r="B8" s="45" t="str">
        <f>Tabela1[[#This Row],[Perícia]]</f>
        <v>Conhecimento</v>
      </c>
      <c r="C8" s="33">
        <f>Tabela1[[#This Row],[Total]]</f>
        <v>14</v>
      </c>
      <c r="D8" s="33">
        <f ca="1" t="shared" si="0"/>
        <v>5</v>
      </c>
      <c r="E8" s="46">
        <f ca="1" t="shared" si="1"/>
        <v>19</v>
      </c>
    </row>
    <row r="9" ht="14.25" spans="2:5">
      <c r="B9" s="42" t="str">
        <f>Tabela1[[#This Row],[Perícia]]</f>
        <v>Cura</v>
      </c>
      <c r="C9" s="31">
        <f>Tabela1[[#This Row],[Total]]</f>
        <v>12</v>
      </c>
      <c r="D9" s="31">
        <f ca="1" t="shared" si="0"/>
        <v>15</v>
      </c>
      <c r="E9" s="43">
        <f ca="1" t="shared" si="1"/>
        <v>27</v>
      </c>
    </row>
    <row r="10" ht="15" spans="2:5">
      <c r="B10" s="45" t="str">
        <f>Tabela1[[#This Row],[Perícia]]</f>
        <v>Diplomacia</v>
      </c>
      <c r="C10" s="33">
        <f>Tabela1[[#This Row],[Total]]</f>
        <v>4</v>
      </c>
      <c r="D10" s="33">
        <f ca="1" t="shared" si="0"/>
        <v>4</v>
      </c>
      <c r="E10" s="46">
        <f ca="1" t="shared" si="1"/>
        <v>8</v>
      </c>
    </row>
    <row r="11" ht="14.25" spans="2:5">
      <c r="B11" s="42" t="str">
        <f>Tabela1[[#This Row],[Perícia]]</f>
        <v>Enganação</v>
      </c>
      <c r="C11" s="31">
        <f>Tabela1[[#This Row],[Total]]</f>
        <v>4</v>
      </c>
      <c r="D11" s="31">
        <f ca="1" t="shared" si="0"/>
        <v>11</v>
      </c>
      <c r="E11" s="43">
        <f ca="1" t="shared" si="1"/>
        <v>15</v>
      </c>
    </row>
    <row r="12" ht="15" spans="2:5">
      <c r="B12" s="45" t="str">
        <f>Tabela1[[#This Row],[Perícia]]</f>
        <v>Fortitude</v>
      </c>
      <c r="C12" s="33">
        <f>Tabela1[[#This Row],[Total]]</f>
        <v>9</v>
      </c>
      <c r="D12" s="33">
        <f ca="1" t="shared" si="0"/>
        <v>10</v>
      </c>
      <c r="E12" s="46">
        <f ca="1" t="shared" si="1"/>
        <v>19</v>
      </c>
    </row>
    <row r="13" ht="14.25" spans="2:5">
      <c r="B13" s="42" t="str">
        <f>Tabela1[[#This Row],[Perícia]]</f>
        <v>Furtividade</v>
      </c>
      <c r="C13" s="31">
        <f>Tabela1[[#This Row],[Total]]</f>
        <v>-5</v>
      </c>
      <c r="D13" s="31">
        <f ca="1" t="shared" si="0"/>
        <v>20</v>
      </c>
      <c r="E13" s="43">
        <f ca="1" t="shared" si="1"/>
        <v>15</v>
      </c>
    </row>
    <row r="14" ht="15" spans="2:5">
      <c r="B14" s="45" t="str">
        <f>Tabela1[[#This Row],[Perícia]]</f>
        <v>Guerra</v>
      </c>
      <c r="C14" s="33">
        <f>Tabela1[[#This Row],[Total]]</f>
        <v>14</v>
      </c>
      <c r="D14" s="33">
        <f ca="1" t="shared" si="0"/>
        <v>9</v>
      </c>
      <c r="E14" s="46">
        <f ca="1" t="shared" si="1"/>
        <v>23</v>
      </c>
    </row>
    <row r="15" ht="14.25" spans="2:5">
      <c r="B15" s="42" t="str">
        <f>Tabela1[[#This Row],[Perícia]]</f>
        <v>Iniciativa</v>
      </c>
      <c r="C15" s="31">
        <f>Tabela1[[#This Row],[Total]]</f>
        <v>5</v>
      </c>
      <c r="D15" s="31">
        <f ca="1" t="shared" si="0"/>
        <v>20</v>
      </c>
      <c r="E15" s="43">
        <f ca="1" t="shared" si="1"/>
        <v>25</v>
      </c>
    </row>
    <row r="16" ht="15" spans="2:5">
      <c r="B16" s="45" t="str">
        <f>Tabela1[[#This Row],[Perícia]]</f>
        <v>Intimidação</v>
      </c>
      <c r="C16" s="33">
        <f>Tabela1[[#This Row],[Total]]</f>
        <v>4</v>
      </c>
      <c r="D16" s="33">
        <f ca="1" t="shared" si="0"/>
        <v>7</v>
      </c>
      <c r="E16" s="46">
        <f ca="1" t="shared" si="1"/>
        <v>11</v>
      </c>
    </row>
    <row r="17" ht="14.25" spans="2:5">
      <c r="B17" s="42" t="str">
        <f>Tabela1[[#This Row],[Perícia]]</f>
        <v>Intuição</v>
      </c>
      <c r="C17" s="31">
        <f>Tabela1[[#This Row],[Total]]</f>
        <v>7</v>
      </c>
      <c r="D17" s="31">
        <f ca="1" t="shared" si="0"/>
        <v>12</v>
      </c>
      <c r="E17" s="43">
        <f ca="1" t="shared" si="1"/>
        <v>19</v>
      </c>
    </row>
    <row r="18" ht="15" spans="2:5">
      <c r="B18" s="45" t="str">
        <f>Tabela1[[#This Row],[Perícia]]</f>
        <v>Investigação</v>
      </c>
      <c r="C18" s="33">
        <f>Tabela1[[#This Row],[Total]]</f>
        <v>14</v>
      </c>
      <c r="D18" s="33">
        <f ca="1" t="shared" si="0"/>
        <v>5</v>
      </c>
      <c r="E18" s="46">
        <f ca="1" t="shared" si="1"/>
        <v>19</v>
      </c>
    </row>
    <row r="19" ht="14.25" spans="2:5">
      <c r="B19" s="42" t="str">
        <f>Tabela1[[#This Row],[Perícia]]</f>
        <v>Jogatina</v>
      </c>
      <c r="C19" s="31">
        <f>Tabela1[[#This Row],[Total]]</f>
        <v>4</v>
      </c>
      <c r="D19" s="31">
        <f ca="1" t="shared" si="0"/>
        <v>11</v>
      </c>
      <c r="E19" s="43">
        <f ca="1" t="shared" si="1"/>
        <v>15</v>
      </c>
    </row>
    <row r="20" ht="15" spans="2:5">
      <c r="B20" s="45" t="str">
        <f>Tabela1[[#This Row],[Perícia]]</f>
        <v>Ladinagem</v>
      </c>
      <c r="C20" s="33">
        <f>Tabela1[[#This Row],[Total]]</f>
        <v>-5</v>
      </c>
      <c r="D20" s="33">
        <f ca="1" t="shared" si="0"/>
        <v>20</v>
      </c>
      <c r="E20" s="46">
        <f ca="1" t="shared" si="1"/>
        <v>15</v>
      </c>
    </row>
    <row r="21" ht="14.25" spans="2:5">
      <c r="B21" s="42" t="str">
        <f>Tabela1[[#This Row],[Perícia]]</f>
        <v>Luta</v>
      </c>
      <c r="C21" s="31">
        <f>Tabela1[[#This Row],[Total]]</f>
        <v>11</v>
      </c>
      <c r="D21" s="31">
        <f ca="1" t="shared" si="0"/>
        <v>13</v>
      </c>
      <c r="E21" s="43">
        <f ca="1" t="shared" si="1"/>
        <v>24</v>
      </c>
    </row>
    <row r="22" ht="15" spans="2:5">
      <c r="B22" s="45" t="str">
        <f>Tabela1[[#This Row],[Perícia]]</f>
        <v>Misticismo</v>
      </c>
      <c r="C22" s="33">
        <f>Tabela1[[#This Row],[Total]]</f>
        <v>16</v>
      </c>
      <c r="D22" s="33">
        <f ca="1" t="shared" si="0"/>
        <v>12</v>
      </c>
      <c r="E22" s="46">
        <f ca="1" t="shared" si="1"/>
        <v>28</v>
      </c>
    </row>
    <row r="23" ht="14.25" spans="2:5">
      <c r="B23" s="42" t="str">
        <f>Tabela1[[#This Row],[Perícia]]</f>
        <v>Nobreza</v>
      </c>
      <c r="C23" s="31">
        <f>Tabela1[[#This Row],[Total]]</f>
        <v>9</v>
      </c>
      <c r="D23" s="31">
        <f ca="1" t="shared" si="0"/>
        <v>20</v>
      </c>
      <c r="E23" s="43">
        <f ca="1" t="shared" si="1"/>
        <v>29</v>
      </c>
    </row>
    <row r="24" ht="30" spans="2:5">
      <c r="B24" s="45" t="str">
        <f>Tabela1[[#This Row],[Perícia]]</f>
        <v>Ofício (Alquimista)</v>
      </c>
      <c r="C24" s="33">
        <f>Tabela1[[#This Row],[Total]]</f>
        <v>14</v>
      </c>
      <c r="D24" s="33">
        <f ca="1" t="shared" si="0"/>
        <v>17</v>
      </c>
      <c r="E24" s="46">
        <f ca="1" t="shared" si="1"/>
        <v>31</v>
      </c>
    </row>
    <row r="25" ht="14.25" spans="2:5">
      <c r="B25" s="42" t="str">
        <f>Tabela1[[#This Row],[Perícia]]</f>
        <v>Ofício (Armeiro)</v>
      </c>
      <c r="C25" s="31">
        <f>Tabela1[[#This Row],[Total]]</f>
        <v>14</v>
      </c>
      <c r="D25" s="31">
        <f ca="1" t="shared" si="0"/>
        <v>3</v>
      </c>
      <c r="E25" s="43">
        <f ca="1" t="shared" si="1"/>
        <v>17</v>
      </c>
    </row>
    <row r="26" ht="30" spans="2:5">
      <c r="B26" s="45" t="str">
        <f>Tabela1[[#This Row],[Perícia]]</f>
        <v>Ofício (Engenhoqueiro)</v>
      </c>
      <c r="C26" s="33">
        <f>Tabela1[[#This Row],[Total]]</f>
        <v>14</v>
      </c>
      <c r="D26" s="33">
        <f ca="1" t="shared" si="0"/>
        <v>15</v>
      </c>
      <c r="E26" s="46">
        <f ca="1" t="shared" si="1"/>
        <v>29</v>
      </c>
    </row>
    <row r="27" ht="14.25" spans="2:5">
      <c r="B27" s="42" t="str">
        <f>Tabela1[[#This Row],[Perícia]]</f>
        <v>Percepção</v>
      </c>
      <c r="C27" s="31">
        <f>Tabela1[[#This Row],[Total]]</f>
        <v>14</v>
      </c>
      <c r="D27" s="31">
        <f ca="1" t="shared" si="0"/>
        <v>8</v>
      </c>
      <c r="E27" s="43">
        <f ca="1" t="shared" si="1"/>
        <v>22</v>
      </c>
    </row>
    <row r="28" ht="15" spans="2:5">
      <c r="B28" s="45" t="str">
        <f>Tabela1[[#This Row],[Perícia]]</f>
        <v>Pilotagem</v>
      </c>
      <c r="C28" s="33">
        <f>Tabela1[[#This Row],[Total]]</f>
        <v>5</v>
      </c>
      <c r="D28" s="33">
        <f ca="1" t="shared" si="0"/>
        <v>19</v>
      </c>
      <c r="E28" s="46">
        <f ca="1" t="shared" si="1"/>
        <v>24</v>
      </c>
    </row>
    <row r="29" ht="14.25" spans="2:5">
      <c r="B29" s="42" t="str">
        <f>Tabela1[[#This Row],[Perícia]]</f>
        <v>Pontaria</v>
      </c>
      <c r="C29" s="31">
        <f>Tabela1[[#This Row],[Total]]</f>
        <v>5</v>
      </c>
      <c r="D29" s="31">
        <f ca="1" t="shared" si="0"/>
        <v>8</v>
      </c>
      <c r="E29" s="43">
        <f ca="1" t="shared" si="1"/>
        <v>13</v>
      </c>
    </row>
    <row r="30" ht="15" spans="2:5">
      <c r="B30" s="45" t="str">
        <f>Tabela1[[#This Row],[Perícia]]</f>
        <v>Reflexos</v>
      </c>
      <c r="C30" s="33">
        <f>Tabela1[[#This Row],[Total]]</f>
        <v>10</v>
      </c>
      <c r="D30" s="33">
        <f ca="1" t="shared" si="0"/>
        <v>11</v>
      </c>
      <c r="E30" s="46">
        <f ca="1" t="shared" si="1"/>
        <v>21</v>
      </c>
    </row>
    <row r="31" ht="15" spans="2:5">
      <c r="B31" s="47" t="str">
        <f>Tabela1[[#This Row],[Perícia]]</f>
        <v>Religião</v>
      </c>
      <c r="C31" s="53">
        <f>Tabela1[[#This Row],[Total]]</f>
        <v>7</v>
      </c>
      <c r="D31" s="53">
        <f ca="1" t="shared" si="0"/>
        <v>3</v>
      </c>
      <c r="E31" s="48">
        <f ca="1" t="shared" si="1"/>
        <v>10</v>
      </c>
    </row>
    <row r="32" ht="14.2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tabSelected="1" zoomScale="115" zoomScaleNormal="115" workbookViewId="0">
      <selection activeCell="G15" sqref="G15"/>
    </sheetView>
  </sheetViews>
  <sheetFormatPr defaultColWidth="9" defaultRowHeight="13.5" outlineLevelCol="7"/>
  <cols>
    <col min="2" max="2" width="23.25" customWidth="1"/>
    <col min="3" max="3" width="15.375" customWidth="1"/>
    <col min="4" max="4" width="11.875" customWidth="1"/>
    <col min="5" max="5" width="10.625" customWidth="1"/>
  </cols>
  <sheetData>
    <row r="1" ht="14.25"/>
    <row r="2" ht="15.75" spans="2:8">
      <c r="B2" s="28" t="s">
        <v>80</v>
      </c>
      <c r="C2" s="28" t="s">
        <v>36</v>
      </c>
      <c r="D2" s="29" t="s">
        <v>81</v>
      </c>
      <c r="E2" s="74" t="s">
        <v>82</v>
      </c>
      <c r="G2" s="39" t="s">
        <v>83</v>
      </c>
      <c r="H2" s="40"/>
    </row>
    <row r="3" ht="14.25" spans="2:8">
      <c r="B3" s="71" t="s">
        <v>84</v>
      </c>
      <c r="C3" s="71" t="s">
        <v>85</v>
      </c>
      <c r="D3" s="31">
        <v>1</v>
      </c>
      <c r="E3" s="41">
        <f t="shared" ref="E3:E35" si="0">IFERROR(VLOOKUP(D3,$G$3:$H$7,2,FALSE)^2*10,"")</f>
        <v>10</v>
      </c>
      <c r="G3" s="42">
        <v>1</v>
      </c>
      <c r="H3" s="43">
        <v>1</v>
      </c>
    </row>
    <row r="4" ht="15" spans="2:8">
      <c r="B4" s="34" t="s">
        <v>86</v>
      </c>
      <c r="C4" s="32" t="s">
        <v>85</v>
      </c>
      <c r="D4" s="33">
        <v>1</v>
      </c>
      <c r="E4" s="44">
        <f t="shared" si="0"/>
        <v>10</v>
      </c>
      <c r="G4" s="45">
        <v>2</v>
      </c>
      <c r="H4" s="46">
        <v>3</v>
      </c>
    </row>
    <row r="5" ht="14.25" spans="2:8">
      <c r="B5" s="71" t="s">
        <v>87</v>
      </c>
      <c r="C5" s="30" t="s">
        <v>88</v>
      </c>
      <c r="D5" s="31">
        <v>1</v>
      </c>
      <c r="E5" s="41">
        <f t="shared" si="0"/>
        <v>10</v>
      </c>
      <c r="G5" s="42">
        <v>3</v>
      </c>
      <c r="H5" s="43">
        <v>6</v>
      </c>
    </row>
    <row r="6" ht="15" spans="2:8">
      <c r="B6" s="34" t="s">
        <v>89</v>
      </c>
      <c r="C6" s="32" t="s">
        <v>88</v>
      </c>
      <c r="D6" s="33">
        <v>1</v>
      </c>
      <c r="E6" s="44">
        <f t="shared" si="0"/>
        <v>10</v>
      </c>
      <c r="G6" s="45">
        <v>4</v>
      </c>
      <c r="H6" s="46">
        <v>10</v>
      </c>
    </row>
    <row r="7" ht="15" spans="2:8">
      <c r="B7" s="71" t="s">
        <v>90</v>
      </c>
      <c r="C7" s="30" t="s">
        <v>88</v>
      </c>
      <c r="D7" s="31">
        <v>1</v>
      </c>
      <c r="E7" s="41">
        <f t="shared" si="0"/>
        <v>10</v>
      </c>
      <c r="G7" s="47">
        <v>5</v>
      </c>
      <c r="H7" s="48">
        <v>15</v>
      </c>
    </row>
    <row r="8" ht="15.75" spans="2:5">
      <c r="B8" s="34" t="s">
        <v>91</v>
      </c>
      <c r="C8" s="32" t="s">
        <v>88</v>
      </c>
      <c r="D8" s="33">
        <v>1</v>
      </c>
      <c r="E8" s="44">
        <f t="shared" si="0"/>
        <v>10</v>
      </c>
    </row>
    <row r="9" ht="14.25" spans="2:6">
      <c r="B9" s="71" t="s">
        <v>92</v>
      </c>
      <c r="C9" s="30" t="s">
        <v>88</v>
      </c>
      <c r="D9" s="31">
        <v>1</v>
      </c>
      <c r="E9" s="41">
        <f t="shared" si="0"/>
        <v>10</v>
      </c>
      <c r="F9" s="75"/>
    </row>
    <row r="10" ht="15" spans="1:6">
      <c r="A10" s="72"/>
      <c r="B10" s="34" t="s">
        <v>93</v>
      </c>
      <c r="C10" s="32" t="s">
        <v>85</v>
      </c>
      <c r="D10" s="33">
        <v>1</v>
      </c>
      <c r="E10" s="44">
        <f t="shared" si="0"/>
        <v>10</v>
      </c>
      <c r="F10" s="72"/>
    </row>
    <row r="11" ht="14.25" spans="2:5">
      <c r="B11" s="71" t="s">
        <v>94</v>
      </c>
      <c r="C11" s="30" t="s">
        <v>88</v>
      </c>
      <c r="D11" s="31">
        <v>2</v>
      </c>
      <c r="E11" s="41">
        <f t="shared" si="0"/>
        <v>90</v>
      </c>
    </row>
    <row r="12" ht="15" spans="2:5">
      <c r="B12" s="34" t="s">
        <v>95</v>
      </c>
      <c r="C12" s="32" t="s">
        <v>88</v>
      </c>
      <c r="D12" s="33">
        <v>1</v>
      </c>
      <c r="E12" s="44">
        <f t="shared" si="0"/>
        <v>10</v>
      </c>
    </row>
    <row r="13" ht="14.25" spans="2:5">
      <c r="B13" s="71" t="s">
        <v>96</v>
      </c>
      <c r="C13" s="30" t="s">
        <v>85</v>
      </c>
      <c r="D13" s="31">
        <v>2</v>
      </c>
      <c r="E13" s="41">
        <f t="shared" si="0"/>
        <v>90</v>
      </c>
    </row>
    <row r="14" ht="15" spans="2:5">
      <c r="B14" s="34" t="s">
        <v>97</v>
      </c>
      <c r="C14" s="32" t="s">
        <v>85</v>
      </c>
      <c r="D14" s="33">
        <v>2</v>
      </c>
      <c r="E14" s="44">
        <f t="shared" si="0"/>
        <v>90</v>
      </c>
    </row>
    <row r="15" ht="14.25" spans="2:5">
      <c r="B15" s="71" t="s">
        <v>98</v>
      </c>
      <c r="C15" s="30" t="s">
        <v>99</v>
      </c>
      <c r="D15" s="31">
        <v>2</v>
      </c>
      <c r="E15" s="41">
        <f t="shared" si="0"/>
        <v>90</v>
      </c>
    </row>
    <row r="16" ht="15" spans="2:5">
      <c r="B16" s="34" t="s">
        <v>100</v>
      </c>
      <c r="C16" s="32" t="s">
        <v>88</v>
      </c>
      <c r="D16" s="33">
        <v>3</v>
      </c>
      <c r="E16" s="44">
        <f t="shared" si="0"/>
        <v>360</v>
      </c>
    </row>
    <row r="17" ht="14.25" spans="2:5">
      <c r="B17" s="71"/>
      <c r="C17" s="30"/>
      <c r="D17" s="31"/>
      <c r="E17" s="41" t="str">
        <f t="shared" si="0"/>
        <v/>
      </c>
    </row>
    <row r="18" ht="15" spans="2:5">
      <c r="B18" s="34"/>
      <c r="C18" s="32"/>
      <c r="D18" s="33"/>
      <c r="E18" s="44" t="str">
        <f t="shared" si="0"/>
        <v/>
      </c>
    </row>
    <row r="19" ht="14.25" spans="2:5">
      <c r="B19" s="71"/>
      <c r="C19" s="30"/>
      <c r="D19" s="31"/>
      <c r="E19" s="41" t="str">
        <f t="shared" si="0"/>
        <v/>
      </c>
    </row>
    <row r="20" ht="15" spans="2:5">
      <c r="B20" s="34"/>
      <c r="C20" s="32"/>
      <c r="D20" s="33"/>
      <c r="E20" s="44" t="str">
        <f t="shared" si="0"/>
        <v/>
      </c>
    </row>
    <row r="21" ht="14.25" spans="2:5">
      <c r="B21" s="71"/>
      <c r="C21" s="30"/>
      <c r="D21" s="31"/>
      <c r="E21" s="41" t="str">
        <f t="shared" si="0"/>
        <v/>
      </c>
    </row>
    <row r="22" ht="15" spans="2:5">
      <c r="B22" s="34"/>
      <c r="C22" s="32"/>
      <c r="D22" s="33"/>
      <c r="E22" s="44" t="str">
        <f t="shared" si="0"/>
        <v/>
      </c>
    </row>
    <row r="23" ht="14.25" spans="2:5">
      <c r="B23" s="71"/>
      <c r="C23" s="30"/>
      <c r="D23" s="31"/>
      <c r="E23" s="41" t="str">
        <f t="shared" si="0"/>
        <v/>
      </c>
    </row>
    <row r="24" ht="15" spans="2:5">
      <c r="B24" s="34"/>
      <c r="C24" s="32"/>
      <c r="D24" s="33"/>
      <c r="E24" s="44" t="str">
        <f t="shared" si="0"/>
        <v/>
      </c>
    </row>
    <row r="25" ht="14.25" spans="2:5">
      <c r="B25" s="71"/>
      <c r="C25" s="30"/>
      <c r="D25" s="31"/>
      <c r="E25" s="41" t="str">
        <f t="shared" si="0"/>
        <v/>
      </c>
    </row>
    <row r="26" ht="15" spans="2:5">
      <c r="B26" s="34"/>
      <c r="C26" s="34"/>
      <c r="D26" s="33"/>
      <c r="E26" s="44" t="str">
        <f t="shared" si="0"/>
        <v/>
      </c>
    </row>
    <row r="27" ht="14.25" spans="2:5">
      <c r="B27" s="71"/>
      <c r="C27" s="30"/>
      <c r="D27" s="31"/>
      <c r="E27" s="41" t="str">
        <f t="shared" si="0"/>
        <v/>
      </c>
    </row>
    <row r="28" ht="15" spans="2:5">
      <c r="B28" s="34"/>
      <c r="C28" s="32"/>
      <c r="D28" s="33"/>
      <c r="E28" s="44" t="str">
        <f t="shared" si="0"/>
        <v/>
      </c>
    </row>
    <row r="29" ht="14.25" spans="2:5">
      <c r="B29" s="71"/>
      <c r="C29" s="30"/>
      <c r="D29" s="31"/>
      <c r="E29" s="41" t="str">
        <f t="shared" si="0"/>
        <v/>
      </c>
    </row>
    <row r="30" ht="15" spans="2:5">
      <c r="B30" s="34"/>
      <c r="C30" s="32"/>
      <c r="D30" s="33"/>
      <c r="E30" s="44" t="str">
        <f t="shared" si="0"/>
        <v/>
      </c>
    </row>
    <row r="31" ht="14.25" spans="2:5">
      <c r="B31" s="71"/>
      <c r="C31" s="30"/>
      <c r="D31" s="31"/>
      <c r="E31" s="41" t="str">
        <f t="shared" si="0"/>
        <v/>
      </c>
    </row>
    <row r="32" ht="15" spans="2:5">
      <c r="B32" s="34"/>
      <c r="C32" s="32"/>
      <c r="D32" s="33"/>
      <c r="E32" s="44" t="str">
        <f t="shared" si="0"/>
        <v/>
      </c>
    </row>
    <row r="33" ht="14.25" spans="2:5">
      <c r="B33" s="71"/>
      <c r="C33" s="30"/>
      <c r="D33" s="31"/>
      <c r="E33" s="41" t="str">
        <f t="shared" si="0"/>
        <v/>
      </c>
    </row>
    <row r="34" ht="15" spans="2:5">
      <c r="B34" s="34"/>
      <c r="C34" s="32"/>
      <c r="D34" s="33"/>
      <c r="E34" s="44" t="str">
        <f t="shared" si="0"/>
        <v/>
      </c>
    </row>
    <row r="35" ht="14.25" spans="2:5">
      <c r="B35" s="73"/>
      <c r="C35" s="35"/>
      <c r="D35" s="36"/>
      <c r="E35" s="51"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workbookViewId="0">
      <selection activeCell="C12" sqref="C12"/>
    </sheetView>
  </sheetViews>
  <sheetFormatPr defaultColWidth="9" defaultRowHeight="13.5"/>
  <cols>
    <col min="2" max="2" width="21.125" customWidth="1"/>
    <col min="4" max="4" width="17.75" customWidth="1"/>
    <col min="5" max="5" width="11" customWidth="1"/>
  </cols>
  <sheetData>
    <row r="1" ht="14.25"/>
    <row r="2" ht="15.75" spans="2:6">
      <c r="B2" s="39" t="s">
        <v>101</v>
      </c>
      <c r="C2" s="52"/>
      <c r="D2" s="52"/>
      <c r="E2" s="66"/>
      <c r="F2" s="40"/>
    </row>
    <row r="3" ht="14.25" spans="2:6">
      <c r="B3" s="42" t="s">
        <v>23</v>
      </c>
      <c r="C3" s="31" t="s">
        <v>24</v>
      </c>
      <c r="D3" s="31" t="s">
        <v>25</v>
      </c>
      <c r="E3" s="41" t="s">
        <v>102</v>
      </c>
      <c r="F3" s="43" t="s">
        <v>103</v>
      </c>
    </row>
    <row r="4" ht="15" spans="2:6">
      <c r="B4" s="45" t="s">
        <v>29</v>
      </c>
      <c r="C4" s="33">
        <v>10</v>
      </c>
      <c r="D4" s="33">
        <v>10</v>
      </c>
      <c r="E4" s="44">
        <v>20</v>
      </c>
      <c r="F4" s="46">
        <v>15</v>
      </c>
    </row>
    <row r="5" ht="15" spans="2:6">
      <c r="B5" s="47"/>
      <c r="C5" s="53"/>
      <c r="D5" s="53"/>
      <c r="E5" s="67"/>
      <c r="F5" s="48"/>
    </row>
    <row r="6" ht="15"/>
    <row r="7" ht="15.75" spans="2:8">
      <c r="B7" s="54" t="s">
        <v>104</v>
      </c>
      <c r="C7" s="55"/>
      <c r="D7" s="55"/>
      <c r="E7" s="55"/>
      <c r="F7" s="55"/>
      <c r="G7" s="55"/>
      <c r="H7" s="68"/>
    </row>
    <row r="8" ht="14.25" spans="2:8">
      <c r="B8" s="42" t="s">
        <v>23</v>
      </c>
      <c r="C8" s="31" t="s">
        <v>26</v>
      </c>
      <c r="D8" s="31" t="s">
        <v>105</v>
      </c>
      <c r="E8" s="31" t="s">
        <v>27</v>
      </c>
      <c r="F8" s="41" t="s">
        <v>103</v>
      </c>
      <c r="G8" s="41" t="s">
        <v>36</v>
      </c>
      <c r="H8" s="43" t="s">
        <v>28</v>
      </c>
    </row>
    <row r="9" ht="15" spans="2:8">
      <c r="B9" s="45" t="s">
        <v>106</v>
      </c>
      <c r="C9" s="33" t="s">
        <v>107</v>
      </c>
      <c r="D9" s="33"/>
      <c r="E9" s="33"/>
      <c r="F9" s="44"/>
      <c r="G9" s="44" t="s">
        <v>108</v>
      </c>
      <c r="H9" s="46" t="s">
        <v>109</v>
      </c>
    </row>
    <row r="10" ht="14.25" spans="2:8">
      <c r="B10" s="42" t="s">
        <v>110</v>
      </c>
      <c r="C10" s="31" t="s">
        <v>111</v>
      </c>
      <c r="D10" s="31" t="s">
        <v>112</v>
      </c>
      <c r="E10" s="31"/>
      <c r="F10" s="41">
        <v>2</v>
      </c>
      <c r="G10" s="41" t="s">
        <v>108</v>
      </c>
      <c r="H10" s="43" t="s">
        <v>109</v>
      </c>
    </row>
    <row r="11" ht="30" spans="2:8">
      <c r="B11" s="45" t="s">
        <v>30</v>
      </c>
      <c r="C11" s="33" t="s">
        <v>113</v>
      </c>
      <c r="D11" s="33" t="s">
        <v>114</v>
      </c>
      <c r="E11" s="33"/>
      <c r="F11" s="44">
        <v>6</v>
      </c>
      <c r="G11" s="44" t="s">
        <v>115</v>
      </c>
      <c r="H11" s="46" t="s">
        <v>116</v>
      </c>
    </row>
    <row r="12" ht="14.25" spans="2:8">
      <c r="B12" s="42"/>
      <c r="C12" s="31"/>
      <c r="D12" s="31"/>
      <c r="E12" s="31"/>
      <c r="F12" s="41"/>
      <c r="G12" s="41"/>
      <c r="H12" s="43"/>
    </row>
    <row r="13" ht="15.75" spans="2:8">
      <c r="B13" s="49"/>
      <c r="C13" s="56"/>
      <c r="D13" s="56"/>
      <c r="E13" s="56"/>
      <c r="F13" s="69"/>
      <c r="G13" s="69"/>
      <c r="H13" s="50"/>
    </row>
    <row r="14" ht="15"/>
    <row r="15" ht="15.75" spans="2:9">
      <c r="B15" s="39" t="s">
        <v>117</v>
      </c>
      <c r="C15" s="52"/>
      <c r="D15" s="52"/>
      <c r="E15" s="52"/>
      <c r="F15" s="52"/>
      <c r="G15" s="52"/>
      <c r="H15" s="52"/>
      <c r="I15" s="40"/>
    </row>
    <row r="16" ht="14.25" spans="2:9">
      <c r="B16" s="57" t="s">
        <v>23</v>
      </c>
      <c r="C16" s="58" t="s">
        <v>24</v>
      </c>
      <c r="D16" s="58"/>
      <c r="E16" s="58" t="s">
        <v>118</v>
      </c>
      <c r="F16" s="58" t="s">
        <v>119</v>
      </c>
      <c r="G16" s="58" t="s">
        <v>103</v>
      </c>
      <c r="H16" s="58" t="s">
        <v>120</v>
      </c>
      <c r="I16" s="70" t="s">
        <v>102</v>
      </c>
    </row>
    <row r="17" ht="15" spans="2:9">
      <c r="B17" s="5" t="s">
        <v>121</v>
      </c>
      <c r="C17" s="98" t="s">
        <v>122</v>
      </c>
      <c r="D17" s="11"/>
      <c r="E17" s="33">
        <v>1</v>
      </c>
      <c r="F17" s="33">
        <v>4</v>
      </c>
      <c r="G17" s="33">
        <f>PRODUCT(E17:F17)</f>
        <v>4</v>
      </c>
      <c r="H17" s="33">
        <v>30</v>
      </c>
      <c r="I17" s="46">
        <f>PRODUCT(H17,E17)</f>
        <v>30</v>
      </c>
    </row>
    <row r="18" ht="14.25" spans="2:9">
      <c r="B18" s="57"/>
      <c r="C18" s="58"/>
      <c r="D18" s="58"/>
      <c r="E18" s="58"/>
      <c r="F18" s="58"/>
      <c r="G18" s="58"/>
      <c r="H18" s="58"/>
      <c r="I18" s="70"/>
    </row>
    <row r="19" ht="15" spans="2:9">
      <c r="B19" s="5" t="s">
        <v>123</v>
      </c>
      <c r="C19" s="11" t="s">
        <v>124</v>
      </c>
      <c r="D19" s="11"/>
      <c r="E19" s="33">
        <v>2</v>
      </c>
      <c r="F19" s="33">
        <v>2</v>
      </c>
      <c r="G19" s="33">
        <f>PRODUCT(E19:F19)</f>
        <v>4</v>
      </c>
      <c r="H19" s="33"/>
      <c r="I19" s="46">
        <f>PRODUCT(H19,E19)</f>
        <v>2</v>
      </c>
    </row>
    <row r="20" ht="14.25" spans="2:9">
      <c r="B20" s="57" t="s">
        <v>125</v>
      </c>
      <c r="C20" s="58"/>
      <c r="D20" s="58"/>
      <c r="E20" s="58">
        <v>1</v>
      </c>
      <c r="F20" s="58">
        <v>2</v>
      </c>
      <c r="G20" s="58">
        <f>PRODUCT(E20:F20)</f>
        <v>2</v>
      </c>
      <c r="H20" s="58"/>
      <c r="I20" s="70">
        <f>PRODUCT(H20,E20)</f>
        <v>1</v>
      </c>
    </row>
    <row r="21" ht="15" spans="2:9">
      <c r="B21" s="5" t="s">
        <v>126</v>
      </c>
      <c r="C21" s="11"/>
      <c r="D21" s="11"/>
      <c r="E21" s="33">
        <v>1</v>
      </c>
      <c r="F21" s="33">
        <v>2</v>
      </c>
      <c r="G21" s="33">
        <v>2</v>
      </c>
      <c r="H21" s="33"/>
      <c r="I21" s="46"/>
    </row>
    <row r="22" ht="14.25" spans="2:9">
      <c r="B22" s="57"/>
      <c r="C22" s="58"/>
      <c r="D22" s="58"/>
      <c r="E22" s="58"/>
      <c r="F22" s="58"/>
      <c r="G22" s="58"/>
      <c r="H22" s="58"/>
      <c r="I22" s="70"/>
    </row>
    <row r="23" ht="15" spans="2:9">
      <c r="B23" s="5"/>
      <c r="C23" s="11"/>
      <c r="D23" s="11"/>
      <c r="E23" s="33"/>
      <c r="F23" s="33"/>
      <c r="G23" s="33"/>
      <c r="H23" s="33"/>
      <c r="I23" s="46"/>
    </row>
    <row r="24" ht="14.25" spans="2:9">
      <c r="B24" s="57"/>
      <c r="C24" s="58"/>
      <c r="D24" s="58"/>
      <c r="E24" s="58"/>
      <c r="F24" s="58"/>
      <c r="G24" s="58"/>
      <c r="H24" s="58"/>
      <c r="I24" s="70"/>
    </row>
    <row r="25" ht="15" spans="2:9">
      <c r="B25" s="5"/>
      <c r="C25" s="11"/>
      <c r="D25" s="11"/>
      <c r="E25" s="33"/>
      <c r="F25" s="33"/>
      <c r="G25" s="33"/>
      <c r="H25" s="33"/>
      <c r="I25" s="46"/>
    </row>
    <row r="26" ht="14.25" spans="2:9">
      <c r="B26" s="57"/>
      <c r="C26" s="58"/>
      <c r="D26" s="58"/>
      <c r="E26" s="58"/>
      <c r="F26" s="58"/>
      <c r="G26" s="58"/>
      <c r="H26" s="58"/>
      <c r="I26" s="70"/>
    </row>
    <row r="27" ht="15" spans="2:9">
      <c r="B27" s="5"/>
      <c r="C27" s="11"/>
      <c r="D27" s="11"/>
      <c r="E27" s="33"/>
      <c r="F27" s="33"/>
      <c r="G27" s="33"/>
      <c r="H27" s="33"/>
      <c r="I27" s="46"/>
    </row>
    <row r="28" ht="14.25" spans="2:9">
      <c r="B28" s="57"/>
      <c r="C28" s="58"/>
      <c r="D28" s="58"/>
      <c r="E28" s="58"/>
      <c r="F28" s="58"/>
      <c r="G28" s="58"/>
      <c r="H28" s="58"/>
      <c r="I28" s="70"/>
    </row>
    <row r="29" ht="15.75" spans="2:9">
      <c r="B29" s="7"/>
      <c r="C29" s="59"/>
      <c r="D29" s="59"/>
      <c r="E29" s="56"/>
      <c r="F29" s="56"/>
      <c r="G29" s="56"/>
      <c r="H29" s="56"/>
      <c r="I29" s="50"/>
    </row>
    <row r="30" ht="14.25"/>
    <row r="31" ht="14.25"/>
    <row r="32" ht="15.75" spans="2:4">
      <c r="B32" s="1" t="s">
        <v>127</v>
      </c>
      <c r="C32" s="60">
        <f>SUM(G17:G29,F9:F13,F4:F5)</f>
        <v>35</v>
      </c>
      <c r="D32" s="2">
        <f>Clebina!C3*3</f>
        <v>48</v>
      </c>
    </row>
    <row r="33" ht="15" customHeight="1" spans="2:4">
      <c r="B33" s="61" t="s">
        <v>128</v>
      </c>
      <c r="C33" s="62">
        <f>Clebina!C3*10</f>
        <v>160</v>
      </c>
      <c r="D33" s="63"/>
    </row>
    <row r="34" ht="15.75" customHeight="1" spans="2:4">
      <c r="B34" s="7" t="s">
        <v>129</v>
      </c>
      <c r="C34" s="64" t="str">
        <f>IF(C32&gt;D32,"Sobrecarga","Sem Penalidade")</f>
        <v>Sem Penalidade</v>
      </c>
      <c r="D34" s="65"/>
    </row>
    <row r="35" ht="14.2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workbookViewId="0">
      <selection activeCell="F22" sqref="F22"/>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8" t="s">
        <v>130</v>
      </c>
      <c r="C2" s="29" t="s">
        <v>131</v>
      </c>
      <c r="D2" s="29" t="s">
        <v>1</v>
      </c>
      <c r="E2" s="29" t="s">
        <v>132</v>
      </c>
      <c r="F2" s="29" t="s">
        <v>133</v>
      </c>
      <c r="G2" s="29" t="s">
        <v>41</v>
      </c>
      <c r="H2" s="29" t="s">
        <v>24</v>
      </c>
      <c r="I2" s="29" t="s">
        <v>134</v>
      </c>
      <c r="J2" s="29" t="s">
        <v>78</v>
      </c>
      <c r="K2" s="37" t="s">
        <v>135</v>
      </c>
      <c r="L2" s="37" t="s">
        <v>136</v>
      </c>
      <c r="M2" s="38" t="s">
        <v>137</v>
      </c>
      <c r="O2" s="39" t="s">
        <v>138</v>
      </c>
      <c r="P2" s="40"/>
    </row>
    <row r="3" ht="14.25" spans="2:16">
      <c r="B3" s="30" t="s">
        <v>139</v>
      </c>
      <c r="C3" s="31" t="s">
        <v>140</v>
      </c>
      <c r="D3" s="31">
        <f>VLOOKUP(C3,Clebina!$B$3:$D$8,3,FALSE)</f>
        <v>2</v>
      </c>
      <c r="E3" s="31">
        <f>ROUNDDOWN(Clebina!$G$2/2,0)</f>
        <v>3</v>
      </c>
      <c r="F3" s="31" t="str">
        <f>IF(Tabela1[[#This Row],[Treinada?]]="sim",VLOOKUP(Clebina!$G$2,'uns dados aí'!$I$2:$K$22,2,TRUE),"")</f>
        <v/>
      </c>
      <c r="G3" s="31"/>
      <c r="H3" s="31"/>
      <c r="I3" s="31"/>
      <c r="J3" s="31">
        <f>SUM(Tabela1[[#This Row],[MOD]:[Bônus Habilidade]])-IF(Tabela1[[#This Row],[Penalidade de Armadura?]]="sim",Clebina!$D$16,0)</f>
        <v>-5</v>
      </c>
      <c r="K3" s="31" t="s">
        <v>141</v>
      </c>
      <c r="L3" s="31" t="s">
        <v>142</v>
      </c>
      <c r="M3" s="41" t="s">
        <v>143</v>
      </c>
      <c r="O3" s="42" t="s">
        <v>34</v>
      </c>
      <c r="P3" s="43">
        <v>2</v>
      </c>
    </row>
    <row r="4" ht="15" spans="2:16">
      <c r="B4" s="32" t="s">
        <v>144</v>
      </c>
      <c r="C4" s="33" t="s">
        <v>145</v>
      </c>
      <c r="D4" s="33">
        <f>VLOOKUP(C4,Clebina!$B$3:$D$8,3,FALSE)</f>
        <v>1</v>
      </c>
      <c r="E4" s="33">
        <f>ROUNDDOWN(Clebina!$G$2/2,0)</f>
        <v>3</v>
      </c>
      <c r="F4" s="33" t="str">
        <f>IF(Tabela1[[#This Row],[Treinada?]]="sim",VLOOKUP(Clebina!$G$2,'uns dados aí'!$I$2:$K$22,2,TRUE),"")</f>
        <v/>
      </c>
      <c r="G4" s="33"/>
      <c r="H4" s="33"/>
      <c r="I4" s="33"/>
      <c r="J4" s="33">
        <f>SUM(Tabela1[[#This Row],[MOD]:[Bônus Habilidade]])-IF(Tabela1[[#This Row],[Penalidade de Armadura?]]="sim",Clebina!$D$16,0)</f>
        <v>4</v>
      </c>
      <c r="K4" s="33" t="s">
        <v>141</v>
      </c>
      <c r="L4" s="33" t="s">
        <v>143</v>
      </c>
      <c r="M4" s="44" t="s">
        <v>142</v>
      </c>
      <c r="O4" s="45" t="s">
        <v>57</v>
      </c>
      <c r="P4" s="46">
        <v>4</v>
      </c>
    </row>
    <row r="5" ht="15" spans="2:16">
      <c r="B5" s="30" t="s">
        <v>146</v>
      </c>
      <c r="C5" s="31" t="s">
        <v>147</v>
      </c>
      <c r="D5" s="31">
        <f>VLOOKUP(C5,Clebina!$B$3:$D$8,3,FALSE)</f>
        <v>3</v>
      </c>
      <c r="E5" s="31">
        <f>ROUNDDOWN(Clebina!$G$2/2,0)</f>
        <v>3</v>
      </c>
      <c r="F5" s="31" t="str">
        <f>IF(Tabela1[[#This Row],[Treinada?]]="sim",VLOOKUP(Clebina!$G$2,'uns dados aí'!$I$2:$K$22,2,TRUE),"")</f>
        <v/>
      </c>
      <c r="G5" s="31"/>
      <c r="H5" s="31"/>
      <c r="I5" s="31"/>
      <c r="J5" s="31">
        <f>SUM(Tabela1[[#This Row],[MOD]:[Bônus Habilidade]])-IF(Tabela1[[#This Row],[Penalidade de Armadura?]]="sim",Clebina!$D$16,0)</f>
        <v>6</v>
      </c>
      <c r="K5" s="31" t="s">
        <v>141</v>
      </c>
      <c r="L5" s="31" t="s">
        <v>142</v>
      </c>
      <c r="M5" s="41" t="s">
        <v>142</v>
      </c>
      <c r="O5" s="47" t="s">
        <v>70</v>
      </c>
      <c r="P5" s="48">
        <v>6</v>
      </c>
    </row>
    <row r="6" ht="16.5" spans="2:13">
      <c r="B6" s="32" t="s">
        <v>148</v>
      </c>
      <c r="C6" s="33" t="s">
        <v>145</v>
      </c>
      <c r="D6" s="33">
        <f>VLOOKUP(C6,Clebina!$B$3:$D$8,3,FALSE)</f>
        <v>1</v>
      </c>
      <c r="E6" s="33">
        <f>ROUNDDOWN(Clebina!$G$2/2,0)</f>
        <v>3</v>
      </c>
      <c r="F6" s="33" t="str">
        <f>IF(Tabela1[[#This Row],[Treinada?]]="sim",VLOOKUP(Clebina!$G$2,'uns dados aí'!$I$2:$K$22,2,TRUE),"")</f>
        <v/>
      </c>
      <c r="G6" s="33"/>
      <c r="H6" s="33"/>
      <c r="I6" s="33"/>
      <c r="J6" s="33">
        <f>SUM(Tabela1[[#This Row],[MOD]:[Bônus Habilidade]])-IF(Tabela1[[#This Row],[Penalidade de Armadura?]]="sim",Clebina!$D$16,0)</f>
        <v>4</v>
      </c>
      <c r="K6" s="33" t="s">
        <v>141</v>
      </c>
      <c r="L6" s="33" t="s">
        <v>142</v>
      </c>
      <c r="M6" s="44" t="s">
        <v>142</v>
      </c>
    </row>
    <row r="7" ht="15.75" customHeight="1" spans="2:16">
      <c r="B7" s="30" t="s">
        <v>149</v>
      </c>
      <c r="C7" s="31" t="s">
        <v>140</v>
      </c>
      <c r="D7" s="31">
        <f>VLOOKUP(C7,Clebina!$B$3:$D$8,3,FALSE)</f>
        <v>2</v>
      </c>
      <c r="E7" s="31">
        <f>ROUNDDOWN(Clebina!$G$2/2,0)</f>
        <v>3</v>
      </c>
      <c r="F7" s="31" t="str">
        <f>IF(Tabela1[[#This Row],[Treinada?]]="sim",VLOOKUP(Clebina!$G$2,'uns dados aí'!$I$2:$K$22,2,TRUE),"")</f>
        <v/>
      </c>
      <c r="G7" s="31"/>
      <c r="H7" s="31"/>
      <c r="I7" s="31"/>
      <c r="J7" s="31">
        <f>SUM(Tabela1[[#This Row],[MOD]:[Bônus Habilidade]])-IF(Tabela1[[#This Row],[Penalidade de Armadura?]]="sim",Clebina!$D$16,0)</f>
        <v>5</v>
      </c>
      <c r="K7" s="31" t="s">
        <v>141</v>
      </c>
      <c r="L7" s="31" t="s">
        <v>142</v>
      </c>
      <c r="M7" s="41" t="s">
        <v>142</v>
      </c>
      <c r="O7" s="39" t="s">
        <v>150</v>
      </c>
      <c r="P7" s="40"/>
    </row>
    <row r="8" ht="15" customHeight="1" spans="2:16">
      <c r="B8" s="32" t="s">
        <v>151</v>
      </c>
      <c r="C8" s="33" t="s">
        <v>152</v>
      </c>
      <c r="D8" s="33">
        <f>VLOOKUP(C8,Clebina!$B$3:$D$8,3,FALSE)</f>
        <v>6</v>
      </c>
      <c r="E8" s="33">
        <f>ROUNDDOWN(Clebina!$G$2/2,0)</f>
        <v>3</v>
      </c>
      <c r="F8" s="33">
        <f>IF(Tabela1[[#This Row],[Treinada?]]="sim",VLOOKUP(Clebina!$G$2,'uns dados aí'!$I$2:$K$22,2,TRUE),"")</f>
        <v>5</v>
      </c>
      <c r="G8" s="33"/>
      <c r="H8" s="33"/>
      <c r="I8" s="33"/>
      <c r="J8" s="33">
        <f>SUM(Tabela1[[#This Row],[MOD]:[Bônus Habilidade]])-IF(Tabela1[[#This Row],[Penalidade de Armadura?]]="sim",Clebina!$D$16,0)</f>
        <v>14</v>
      </c>
      <c r="K8" s="33" t="s">
        <v>143</v>
      </c>
      <c r="L8" s="33" t="s">
        <v>143</v>
      </c>
      <c r="M8" s="44" t="s">
        <v>142</v>
      </c>
      <c r="O8" s="42" t="s">
        <v>4</v>
      </c>
      <c r="P8" s="43">
        <f>VLOOKUP(O8,'uns dados aí'!$B$16:$E$22,4,FALSE)</f>
        <v>0</v>
      </c>
    </row>
    <row r="9" ht="15" spans="2:16">
      <c r="B9" s="30" t="s">
        <v>153</v>
      </c>
      <c r="C9" s="31" t="s">
        <v>154</v>
      </c>
      <c r="D9" s="31">
        <f>VLOOKUP(C9,Clebina!$B$3:$D$8,3,FALSE)</f>
        <v>4</v>
      </c>
      <c r="E9" s="31">
        <f>ROUNDDOWN(Clebina!$G$2/2,0)</f>
        <v>3</v>
      </c>
      <c r="F9" s="31">
        <f>IF(Tabela1[[#This Row],[Treinada?]]="sim",VLOOKUP(Clebina!$G$2,'uns dados aí'!$I$2:$K$22,2,TRUE),"")</f>
        <v>5</v>
      </c>
      <c r="G9" s="31"/>
      <c r="H9" s="31"/>
      <c r="I9" s="31"/>
      <c r="J9" s="31">
        <f>SUM(Tabela1[[#This Row],[MOD]:[Bônus Habilidade]])-IF(Tabela1[[#This Row],[Penalidade de Armadura?]]="sim",Clebina!$D$16,0)</f>
        <v>12</v>
      </c>
      <c r="K9" s="31" t="s">
        <v>143</v>
      </c>
      <c r="L9" s="31" t="s">
        <v>142</v>
      </c>
      <c r="M9" s="41" t="s">
        <v>142</v>
      </c>
      <c r="O9" s="45" t="s">
        <v>9</v>
      </c>
      <c r="P9" s="46">
        <f>VLOOKUP(O9,'uns dados aí'!$B$16:$E$22,4,FALSE)</f>
        <v>2</v>
      </c>
    </row>
    <row r="10" ht="15" spans="2:16">
      <c r="B10" s="32" t="s">
        <v>155</v>
      </c>
      <c r="C10" s="33" t="s">
        <v>145</v>
      </c>
      <c r="D10" s="33">
        <f>VLOOKUP(C10,Clebina!$B$3:$D$8,3,FALSE)</f>
        <v>1</v>
      </c>
      <c r="E10" s="33">
        <f>ROUNDDOWN(Clebina!$G$2/2,0)</f>
        <v>3</v>
      </c>
      <c r="F10" s="33" t="str">
        <f>IF(Tabela1[[#This Row],[Treinada?]]="sim",VLOOKUP(Clebina!$G$2,'uns dados aí'!$I$2:$K$22,2,TRUE),"")</f>
        <v/>
      </c>
      <c r="G10" s="33"/>
      <c r="H10" s="33"/>
      <c r="I10" s="33"/>
      <c r="J10" s="33">
        <f>SUM(Tabela1[[#This Row],[MOD]:[Bônus Habilidade]])-IF(Tabela1[[#This Row],[Penalidade de Armadura?]]="sim",Clebina!$D$16,0)</f>
        <v>4</v>
      </c>
      <c r="K10" s="33" t="s">
        <v>141</v>
      </c>
      <c r="L10" s="33" t="s">
        <v>142</v>
      </c>
      <c r="M10" s="44" t="s">
        <v>142</v>
      </c>
      <c r="O10" s="42" t="s">
        <v>10</v>
      </c>
      <c r="P10" s="43">
        <f>VLOOKUP(O10,'uns dados aí'!$B$16:$E$22,4,FALSE)</f>
        <v>-2</v>
      </c>
    </row>
    <row r="11" ht="15" spans="2:16">
      <c r="B11" s="30" t="s">
        <v>156</v>
      </c>
      <c r="C11" s="31" t="s">
        <v>145</v>
      </c>
      <c r="D11" s="31">
        <f>VLOOKUP(C11,Clebina!$B$3:$D$8,3,FALSE)</f>
        <v>1</v>
      </c>
      <c r="E11" s="31">
        <f>ROUNDDOWN(Clebina!$G$2/2,0)</f>
        <v>3</v>
      </c>
      <c r="F11" s="31" t="str">
        <f>IF(Tabela1[[#This Row],[Treinada?]]="sim",VLOOKUP(Clebina!$G$2,'uns dados aí'!$I$2:$K$22,2,TRUE),"")</f>
        <v/>
      </c>
      <c r="G11" s="31"/>
      <c r="H11" s="31"/>
      <c r="I11" s="31"/>
      <c r="J11" s="31">
        <f>SUM(Tabela1[[#This Row],[MOD]:[Bônus Habilidade]])-IF(Tabela1[[#This Row],[Penalidade de Armadura?]]="sim",Clebina!$D$16,0)</f>
        <v>4</v>
      </c>
      <c r="K11" s="31" t="s">
        <v>141</v>
      </c>
      <c r="L11" s="31" t="s">
        <v>142</v>
      </c>
      <c r="M11" s="41" t="s">
        <v>142</v>
      </c>
      <c r="O11" s="45" t="s">
        <v>12</v>
      </c>
      <c r="P11" s="46">
        <f>VLOOKUP(O11,'uns dados aí'!$B$16:$E$22,4,FALSE)</f>
        <v>4</v>
      </c>
    </row>
    <row r="12" ht="15" spans="2:16">
      <c r="B12" s="32" t="s">
        <v>157</v>
      </c>
      <c r="C12" s="33" t="s">
        <v>158</v>
      </c>
      <c r="D12" s="33">
        <f>VLOOKUP(C12,Clebina!$B$3:$D$8,3,FALSE)</f>
        <v>1</v>
      </c>
      <c r="E12" s="33">
        <f>ROUNDDOWN(Clebina!$G$2/2,0)</f>
        <v>3</v>
      </c>
      <c r="F12" s="33">
        <f>IF(Tabela1[[#This Row],[Treinada?]]="sim",VLOOKUP(Clebina!$G$2,'uns dados aí'!$I$2:$K$22,2,TRUE),"")</f>
        <v>5</v>
      </c>
      <c r="G12" s="33"/>
      <c r="H12" s="33"/>
      <c r="I12" s="33"/>
      <c r="J12" s="33">
        <f>SUM(Tabela1[[#This Row],[MOD]:[Bônus Habilidade]])-IF(Tabela1[[#This Row],[Penalidade de Armadura?]]="sim",Clebina!$D$16,0)</f>
        <v>9</v>
      </c>
      <c r="K12" s="33" t="s">
        <v>143</v>
      </c>
      <c r="L12" s="33" t="s">
        <v>142</v>
      </c>
      <c r="M12" s="44" t="s">
        <v>142</v>
      </c>
      <c r="O12" s="42" t="s">
        <v>14</v>
      </c>
      <c r="P12" s="43">
        <f>VLOOKUP(O12,'uns dados aí'!$B$16:$E$22,4,FALSE)</f>
        <v>2</v>
      </c>
    </row>
    <row r="13" ht="15.75" spans="2:16">
      <c r="B13" s="30" t="s">
        <v>159</v>
      </c>
      <c r="C13" s="31" t="s">
        <v>140</v>
      </c>
      <c r="D13" s="31">
        <f>VLOOKUP(C13,Clebina!$B$3:$D$8,3,FALSE)</f>
        <v>2</v>
      </c>
      <c r="E13" s="31">
        <f>ROUNDDOWN(Clebina!$G$2/2,0)</f>
        <v>3</v>
      </c>
      <c r="F13" s="31" t="str">
        <f>IF(Tabela1[[#This Row],[Treinada?]]="sim",VLOOKUP(Clebina!$G$2,'uns dados aí'!$I$2:$K$22,2,TRUE),"")</f>
        <v/>
      </c>
      <c r="G13" s="31"/>
      <c r="H13" s="31"/>
      <c r="I13" s="31"/>
      <c r="J13" s="31">
        <f>SUM(Tabela1[[#This Row],[MOD]:[Bônus Habilidade]])-IF(Tabela1[[#This Row],[Penalidade de Armadura?]]="sim",Clebina!$D$16,0)</f>
        <v>-5</v>
      </c>
      <c r="K13" s="31" t="s">
        <v>141</v>
      </c>
      <c r="L13" s="31" t="s">
        <v>142</v>
      </c>
      <c r="M13" s="41" t="s">
        <v>143</v>
      </c>
      <c r="O13" s="49" t="s">
        <v>16</v>
      </c>
      <c r="P13" s="50">
        <f>VLOOKUP(O13,'uns dados aí'!$B$16:$E$22,4,FALSE)</f>
        <v>0</v>
      </c>
    </row>
    <row r="14" ht="15.75" spans="2:13">
      <c r="B14" s="32" t="s">
        <v>160</v>
      </c>
      <c r="C14" s="33" t="s">
        <v>152</v>
      </c>
      <c r="D14" s="33">
        <f>VLOOKUP(C14,Clebina!$B$3:$D$8,3,FALSE)</f>
        <v>6</v>
      </c>
      <c r="E14" s="33">
        <f>ROUNDDOWN(Clebina!$G$2/2,0)</f>
        <v>3</v>
      </c>
      <c r="F14" s="33">
        <f>IF(Tabela1[[#This Row],[Treinada?]]="sim",VLOOKUP(Clebina!$G$2,'uns dados aí'!$I$2:$K$22,2,TRUE),"")</f>
        <v>5</v>
      </c>
      <c r="G14" s="33"/>
      <c r="H14" s="33"/>
      <c r="I14" s="33"/>
      <c r="J14" s="33">
        <f>SUM(Tabela1[[#This Row],[MOD]:[Bônus Habilidade]])-IF(Tabela1[[#This Row],[Penalidade de Armadura?]]="sim",Clebina!$D$16,0)</f>
        <v>14</v>
      </c>
      <c r="K14" s="33" t="s">
        <v>143</v>
      </c>
      <c r="L14" s="33" t="s">
        <v>143</v>
      </c>
      <c r="M14" s="44" t="s">
        <v>142</v>
      </c>
    </row>
    <row r="15" ht="14.25" spans="2:13">
      <c r="B15" s="30" t="s">
        <v>161</v>
      </c>
      <c r="C15" s="31" t="s">
        <v>140</v>
      </c>
      <c r="D15" s="31">
        <f>VLOOKUP(C15,Clebina!$B$3:$D$8,3,FALSE)</f>
        <v>2</v>
      </c>
      <c r="E15" s="31">
        <f>ROUNDDOWN(Clebina!$G$2/2,0)</f>
        <v>3</v>
      </c>
      <c r="F15" s="31" t="str">
        <f>IF(Tabela1[[#This Row],[Treinada?]]="sim",VLOOKUP(Clebina!$G$2,'uns dados aí'!$I$2:$K$22,2,TRUE),"")</f>
        <v/>
      </c>
      <c r="G15" s="31"/>
      <c r="H15" s="31"/>
      <c r="I15" s="31"/>
      <c r="J15" s="31">
        <f>SUM(Tabela1[[#This Row],[MOD]:[Bônus Habilidade]])-IF(Tabela1[[#This Row],[Penalidade de Armadura?]]="sim",Clebina!$D$16,0)</f>
        <v>5</v>
      </c>
      <c r="K15" s="31" t="s">
        <v>141</v>
      </c>
      <c r="L15" s="31" t="s">
        <v>142</v>
      </c>
      <c r="M15" s="41" t="s">
        <v>142</v>
      </c>
    </row>
    <row r="16" ht="15" spans="2:13">
      <c r="B16" s="32" t="s">
        <v>162</v>
      </c>
      <c r="C16" s="33" t="s">
        <v>145</v>
      </c>
      <c r="D16" s="33">
        <f>VLOOKUP(C16,Clebina!$B$3:$D$8,3,FALSE)</f>
        <v>1</v>
      </c>
      <c r="E16" s="33">
        <f>ROUNDDOWN(Clebina!$G$2/2,0)</f>
        <v>3</v>
      </c>
      <c r="F16" s="33" t="str">
        <f>IF(Tabela1[[#This Row],[Treinada?]]="sim",VLOOKUP(Clebina!$G$2,'uns dados aí'!$I$2:$K$22,2,TRUE),"")</f>
        <v/>
      </c>
      <c r="G16" s="33"/>
      <c r="H16" s="33"/>
      <c r="I16" s="33"/>
      <c r="J16" s="33">
        <f>SUM(Tabela1[[#This Row],[MOD]:[Bônus Habilidade]])-IF(Tabela1[[#This Row],[Penalidade de Armadura?]]="sim",Clebina!$D$16,0)</f>
        <v>4</v>
      </c>
      <c r="K16" s="33" t="s">
        <v>141</v>
      </c>
      <c r="L16" s="33" t="s">
        <v>142</v>
      </c>
      <c r="M16" s="44" t="s">
        <v>142</v>
      </c>
    </row>
    <row r="17" ht="14.25" spans="2:17">
      <c r="B17" s="30" t="s">
        <v>163</v>
      </c>
      <c r="C17" s="31" t="s">
        <v>154</v>
      </c>
      <c r="D17" s="31">
        <f>VLOOKUP(C17,Clebina!$B$3:$D$8,3,FALSE)</f>
        <v>4</v>
      </c>
      <c r="E17" s="31">
        <f>ROUNDDOWN(Clebina!$G$2/2,0)</f>
        <v>3</v>
      </c>
      <c r="F17" s="31" t="str">
        <f>IF(Tabela1[[#This Row],[Treinada?]]="sim",VLOOKUP(Clebina!$G$2,'uns dados aí'!$I$2:$K$22,2,TRUE),"")</f>
        <v/>
      </c>
      <c r="G17" s="31"/>
      <c r="H17" s="31"/>
      <c r="I17" s="31"/>
      <c r="J17" s="31">
        <f>SUM(Tabela1[[#This Row],[MOD]:[Bônus Habilidade]])-IF(Tabela1[[#This Row],[Penalidade de Armadura?]]="sim",Clebina!$D$16,0)</f>
        <v>7</v>
      </c>
      <c r="K17" s="31" t="s">
        <v>141</v>
      </c>
      <c r="L17" s="31" t="s">
        <v>142</v>
      </c>
      <c r="M17" s="41" t="s">
        <v>142</v>
      </c>
      <c r="Q17" t="str">
        <f>IF(P17&gt;P18,"passou demais","")</f>
        <v/>
      </c>
    </row>
    <row r="18" ht="15" spans="2:13">
      <c r="B18" s="32" t="s">
        <v>164</v>
      </c>
      <c r="C18" s="33" t="s">
        <v>152</v>
      </c>
      <c r="D18" s="33">
        <f>VLOOKUP(C18,Clebina!$B$3:$D$8,3,FALSE)</f>
        <v>6</v>
      </c>
      <c r="E18" s="33">
        <f>ROUNDDOWN(Clebina!$G$2/2,0)</f>
        <v>3</v>
      </c>
      <c r="F18" s="33">
        <f>IF(Tabela1[[#This Row],[Treinada?]]="sim",VLOOKUP(Clebina!$G$2,'uns dados aí'!$I$2:$K$22,2,TRUE),"")</f>
        <v>5</v>
      </c>
      <c r="G18" s="33"/>
      <c r="H18" s="33"/>
      <c r="I18" s="33"/>
      <c r="J18" s="33">
        <f>SUM(Tabela1[[#This Row],[MOD]:[Bônus Habilidade]])-IF(Tabela1[[#This Row],[Penalidade de Armadura?]]="sim",Clebina!$D$16,0)</f>
        <v>14</v>
      </c>
      <c r="K18" s="33" t="s">
        <v>143</v>
      </c>
      <c r="L18" s="33" t="s">
        <v>142</v>
      </c>
      <c r="M18" s="44" t="s">
        <v>142</v>
      </c>
    </row>
    <row r="19" ht="14.25" spans="2:13">
      <c r="B19" s="30" t="s">
        <v>165</v>
      </c>
      <c r="C19" s="31" t="s">
        <v>145</v>
      </c>
      <c r="D19" s="31">
        <f>VLOOKUP(C19,Clebina!$B$3:$D$8,3,FALSE)</f>
        <v>1</v>
      </c>
      <c r="E19" s="31">
        <f>ROUNDDOWN(Clebina!$G$2/2,0)</f>
        <v>3</v>
      </c>
      <c r="F19" s="31" t="str">
        <f>IF(Tabela1[[#This Row],[Treinada?]]="sim",VLOOKUP(Clebina!$G$2,'uns dados aí'!$I$2:$K$22,2,TRUE),"")</f>
        <v/>
      </c>
      <c r="G19" s="31"/>
      <c r="H19" s="31"/>
      <c r="I19" s="31"/>
      <c r="J19" s="31">
        <f>SUM(Tabela1[[#This Row],[MOD]:[Bônus Habilidade]])-IF(Tabela1[[#This Row],[Penalidade de Armadura?]]="sim",Clebina!$D$16,0)</f>
        <v>4</v>
      </c>
      <c r="K19" s="31" t="s">
        <v>141</v>
      </c>
      <c r="L19" s="31" t="s">
        <v>143</v>
      </c>
      <c r="M19" s="41" t="s">
        <v>142</v>
      </c>
    </row>
    <row r="20" ht="15" spans="2:13">
      <c r="B20" s="32" t="s">
        <v>166</v>
      </c>
      <c r="C20" s="33" t="s">
        <v>140</v>
      </c>
      <c r="D20" s="33">
        <f>VLOOKUP(C20,Clebina!$B$3:$D$8,3,FALSE)</f>
        <v>2</v>
      </c>
      <c r="E20" s="33">
        <f>ROUNDDOWN(Clebina!$G$2/2,0)</f>
        <v>3</v>
      </c>
      <c r="F20" s="33" t="str">
        <f>IF(Tabela1[[#This Row],[Treinada?]]="sim",VLOOKUP(Clebina!$G$2,'uns dados aí'!$I$2:$K$22,2,TRUE),"")</f>
        <v/>
      </c>
      <c r="G20" s="33"/>
      <c r="H20" s="33"/>
      <c r="I20" s="33"/>
      <c r="J20" s="33">
        <f>SUM(Tabela1[[#This Row],[MOD]:[Bônus Habilidade]])-IF(Tabela1[[#This Row],[Penalidade de Armadura?]]="sim",Clebina!$D$16,0)</f>
        <v>-5</v>
      </c>
      <c r="K20" s="33" t="s">
        <v>141</v>
      </c>
      <c r="L20" s="33" t="s">
        <v>143</v>
      </c>
      <c r="M20" s="44" t="s">
        <v>143</v>
      </c>
    </row>
    <row r="21" ht="14.25" spans="2:13">
      <c r="B21" s="30" t="s">
        <v>79</v>
      </c>
      <c r="C21" s="31" t="s">
        <v>147</v>
      </c>
      <c r="D21" s="31">
        <f>VLOOKUP(C21,Clebina!$B$3:$D$8,3,FALSE)</f>
        <v>3</v>
      </c>
      <c r="E21" s="31">
        <f>ROUNDDOWN(Clebina!$G$2/2,0)</f>
        <v>3</v>
      </c>
      <c r="F21" s="31">
        <f>IF(Tabela1[[#This Row],[Treinada?]]="sim",VLOOKUP(Clebina!$G$2,'uns dados aí'!$I$2:$K$22,2,TRUE),"")</f>
        <v>5</v>
      </c>
      <c r="G21" s="31"/>
      <c r="H21" s="31"/>
      <c r="I21" s="31"/>
      <c r="J21" s="31">
        <f>SUM(Tabela1[[#This Row],[MOD]:[Bônus Habilidade]])-IF(Tabela1[[#This Row],[Penalidade de Armadura?]]="sim",Clebina!$D$16,0)</f>
        <v>11</v>
      </c>
      <c r="K21" s="31" t="s">
        <v>143</v>
      </c>
      <c r="L21" s="31" t="s">
        <v>142</v>
      </c>
      <c r="M21" s="41" t="s">
        <v>142</v>
      </c>
    </row>
    <row r="22" ht="15" spans="2:13">
      <c r="B22" s="32" t="s">
        <v>167</v>
      </c>
      <c r="C22" s="33" t="s">
        <v>152</v>
      </c>
      <c r="D22" s="33">
        <f>VLOOKUP(C22,Clebina!$B$3:$D$8,3,FALSE)</f>
        <v>6</v>
      </c>
      <c r="E22" s="33">
        <f>ROUNDDOWN(Clebina!$G$2/2,0)</f>
        <v>3</v>
      </c>
      <c r="F22" s="33">
        <f>IF(Tabela1[[#This Row],[Treinada?]]="sim",VLOOKUP(Clebina!$G$2,'uns dados aí'!$I$2:$K$22,2,TRUE),"")</f>
        <v>5</v>
      </c>
      <c r="G22" s="33">
        <v>2</v>
      </c>
      <c r="H22" s="33"/>
      <c r="I22" s="33"/>
      <c r="J22" s="33">
        <f>SUM(Tabela1[[#This Row],[MOD]:[Bônus Habilidade]])-IF(Tabela1[[#This Row],[Penalidade de Armadura?]]="sim",Clebina!$D$16,0)</f>
        <v>16</v>
      </c>
      <c r="K22" s="33" t="s">
        <v>143</v>
      </c>
      <c r="L22" s="33" t="s">
        <v>143</v>
      </c>
      <c r="M22" s="44" t="s">
        <v>142</v>
      </c>
    </row>
    <row r="23" ht="14.25" spans="2:13">
      <c r="B23" s="30" t="s">
        <v>168</v>
      </c>
      <c r="C23" s="31" t="s">
        <v>152</v>
      </c>
      <c r="D23" s="31">
        <f>VLOOKUP(C23,Clebina!$B$3:$D$8,3,FALSE)</f>
        <v>6</v>
      </c>
      <c r="E23" s="31">
        <f>ROUNDDOWN(Clebina!$G$2/2,0)</f>
        <v>3</v>
      </c>
      <c r="F23" s="31" t="str">
        <f>IF(Tabela1[[#This Row],[Treinada?]]="sim",VLOOKUP(Clebina!$G$2,'uns dados aí'!$I$2:$K$22,2,TRUE),"")</f>
        <v/>
      </c>
      <c r="G23" s="31"/>
      <c r="H23" s="31"/>
      <c r="I23" s="31"/>
      <c r="J23" s="31">
        <f>SUM(Tabela1[[#This Row],[MOD]:[Bônus Habilidade]])-IF(Tabela1[[#This Row],[Penalidade de Armadura?]]="sim",Clebina!$D$16,0)</f>
        <v>9</v>
      </c>
      <c r="K23" s="31" t="s">
        <v>141</v>
      </c>
      <c r="L23" s="31" t="s">
        <v>143</v>
      </c>
      <c r="M23" s="41" t="s">
        <v>142</v>
      </c>
    </row>
    <row r="24" ht="15" spans="2:13">
      <c r="B24" s="32" t="s">
        <v>169</v>
      </c>
      <c r="C24" s="33" t="s">
        <v>152</v>
      </c>
      <c r="D24" s="33">
        <f>VLOOKUP(C24,Clebina!$B$3:$D$8,3,FALSE)</f>
        <v>6</v>
      </c>
      <c r="E24" s="33">
        <f>ROUNDDOWN(Clebina!$G$2/2,0)</f>
        <v>3</v>
      </c>
      <c r="F24" s="33">
        <f>IF(Tabela1[[#This Row],[Treinada?]]="sim",VLOOKUP(Clebina!$G$2,'uns dados aí'!$I$2:$K$22,2,TRUE),"")</f>
        <v>5</v>
      </c>
      <c r="G24" s="33"/>
      <c r="H24" s="33"/>
      <c r="I24" s="33"/>
      <c r="J24" s="33">
        <f>SUM(Tabela1[[#This Row],[MOD]:[Bônus Habilidade]])-IF(Tabela1[[#This Row],[Penalidade de Armadura?]]="sim",Clebina!$D$16,0)</f>
        <v>14</v>
      </c>
      <c r="K24" s="33" t="s">
        <v>143</v>
      </c>
      <c r="L24" s="33" t="s">
        <v>143</v>
      </c>
      <c r="M24" s="44" t="s">
        <v>142</v>
      </c>
    </row>
    <row r="25" ht="14.25" spans="2:13">
      <c r="B25" s="30" t="s">
        <v>170</v>
      </c>
      <c r="C25" s="31" t="s">
        <v>152</v>
      </c>
      <c r="D25" s="31">
        <f>VLOOKUP(C25,Clebina!$B$3:$D$8,3,FALSE)</f>
        <v>6</v>
      </c>
      <c r="E25" s="31">
        <f>ROUNDDOWN(Clebina!$G$2/2,0)</f>
        <v>3</v>
      </c>
      <c r="F25" s="31">
        <f>IF(Tabela1[[#This Row],[Treinada?]]="sim",VLOOKUP(Clebina!$G$2,'uns dados aí'!$I$2:$K$22,2,TRUE),"")</f>
        <v>5</v>
      </c>
      <c r="G25" s="31"/>
      <c r="H25" s="31"/>
      <c r="I25" s="31"/>
      <c r="J25" s="31">
        <f>SUM(Tabela1[[#This Row],[MOD]:[Bônus Habilidade]])-IF(Tabela1[[#This Row],[Penalidade de Armadura?]]="sim",Clebina!$D$16,0)</f>
        <v>14</v>
      </c>
      <c r="K25" s="31" t="s">
        <v>143</v>
      </c>
      <c r="L25" s="31" t="s">
        <v>143</v>
      </c>
      <c r="M25" s="41" t="s">
        <v>142</v>
      </c>
    </row>
    <row r="26" ht="15" spans="2:13">
      <c r="B26" s="34" t="s">
        <v>171</v>
      </c>
      <c r="C26" s="33" t="s">
        <v>152</v>
      </c>
      <c r="D26" s="33">
        <f>VLOOKUP(C26,Clebina!$B$3:$D$8,3,FALSE)</f>
        <v>6</v>
      </c>
      <c r="E26" s="33">
        <f>ROUNDDOWN(Clebina!$G$2/2,0)</f>
        <v>3</v>
      </c>
      <c r="F26" s="33">
        <f>IF(Tabela1[[#This Row],[Treinada?]]="sim",VLOOKUP(Clebina!$G$2,'uns dados aí'!$I$2:$K$22,2,TRUE),"")</f>
        <v>5</v>
      </c>
      <c r="G26" s="33"/>
      <c r="H26" s="33"/>
      <c r="I26" s="33"/>
      <c r="J26" s="33">
        <f>SUM(Tabela1[[#This Row],[MOD]:[Bônus Habilidade]])-IF(Tabela1[[#This Row],[Penalidade de Armadura?]]="sim",Clebina!$D$16,0)</f>
        <v>14</v>
      </c>
      <c r="K26" s="33" t="s">
        <v>143</v>
      </c>
      <c r="L26" s="33" t="s">
        <v>143</v>
      </c>
      <c r="M26" s="44" t="s">
        <v>142</v>
      </c>
    </row>
    <row r="27" ht="14.25" spans="2:13">
      <c r="B27" s="30" t="s">
        <v>172</v>
      </c>
      <c r="C27" s="31" t="s">
        <v>154</v>
      </c>
      <c r="D27" s="31">
        <f>VLOOKUP(C27,Clebina!$B$3:$D$8,3,FALSE)</f>
        <v>4</v>
      </c>
      <c r="E27" s="31">
        <f>ROUNDDOWN(Clebina!$G$2/2,0)</f>
        <v>3</v>
      </c>
      <c r="F27" s="31">
        <f>IF(Tabela1[[#This Row],[Treinada?]]="sim",VLOOKUP(Clebina!$G$2,'uns dados aí'!$I$2:$K$22,2,TRUE),"")</f>
        <v>5</v>
      </c>
      <c r="G27" s="31">
        <v>2</v>
      </c>
      <c r="H27" s="31"/>
      <c r="I27" s="31"/>
      <c r="J27" s="31">
        <f>SUM(Tabela1[[#This Row],[MOD]:[Bônus Habilidade]])-IF(Tabela1[[#This Row],[Penalidade de Armadura?]]="sim",Clebina!$D$16,0)</f>
        <v>14</v>
      </c>
      <c r="K27" s="31" t="s">
        <v>143</v>
      </c>
      <c r="L27" s="31" t="s">
        <v>142</v>
      </c>
      <c r="M27" s="41" t="s">
        <v>142</v>
      </c>
    </row>
    <row r="28" ht="15" spans="2:13">
      <c r="B28" s="32" t="s">
        <v>173</v>
      </c>
      <c r="C28" s="33" t="s">
        <v>140</v>
      </c>
      <c r="D28" s="33">
        <f>VLOOKUP(C28,Clebina!$B$3:$D$8,3,FALSE)</f>
        <v>2</v>
      </c>
      <c r="E28" s="33">
        <f>ROUNDDOWN(Clebina!$G$2/2,0)</f>
        <v>3</v>
      </c>
      <c r="F28" s="33" t="str">
        <f>IF(Tabela1[[#This Row],[Treinada?]]="sim",VLOOKUP(Clebina!$G$2,'uns dados aí'!$I$2:$K$22,2,TRUE),"")</f>
        <v/>
      </c>
      <c r="G28" s="33"/>
      <c r="H28" s="33"/>
      <c r="I28" s="33"/>
      <c r="J28" s="33">
        <f>SUM(Tabela1[[#This Row],[MOD]:[Bônus Habilidade]])-IF(Tabela1[[#This Row],[Penalidade de Armadura?]]="sim",Clebina!$D$16,0)</f>
        <v>5</v>
      </c>
      <c r="K28" s="33" t="s">
        <v>141</v>
      </c>
      <c r="L28" s="33" t="s">
        <v>143</v>
      </c>
      <c r="M28" s="44" t="s">
        <v>142</v>
      </c>
    </row>
    <row r="29" ht="14.25" spans="2:13">
      <c r="B29" s="30" t="s">
        <v>174</v>
      </c>
      <c r="C29" s="31" t="s">
        <v>140</v>
      </c>
      <c r="D29" s="31">
        <f>VLOOKUP(C29,Clebina!$B$3:$D$8,3,FALSE)</f>
        <v>2</v>
      </c>
      <c r="E29" s="31">
        <f>ROUNDDOWN(Clebina!$G$2/2,0)</f>
        <v>3</v>
      </c>
      <c r="F29" s="31" t="str">
        <f>IF(Tabela1[[#This Row],[Treinada?]]="sim",VLOOKUP(Clebina!$G$2,'uns dados aí'!$I$2:$K$22,2,TRUE),"")</f>
        <v/>
      </c>
      <c r="G29" s="31"/>
      <c r="H29" s="31"/>
      <c r="I29" s="31"/>
      <c r="J29" s="31">
        <f>SUM(Tabela1[[#This Row],[MOD]:[Bônus Habilidade]])-IF(Tabela1[[#This Row],[Penalidade de Armadura?]]="sim",Clebina!$D$16,0)</f>
        <v>5</v>
      </c>
      <c r="K29" s="31" t="s">
        <v>141</v>
      </c>
      <c r="L29" s="31" t="s">
        <v>142</v>
      </c>
      <c r="M29" s="41" t="s">
        <v>142</v>
      </c>
    </row>
    <row r="30" ht="15" spans="2:13">
      <c r="B30" s="32" t="s">
        <v>175</v>
      </c>
      <c r="C30" s="33" t="s">
        <v>140</v>
      </c>
      <c r="D30" s="33">
        <f>VLOOKUP(C30,Clebina!$B$3:$D$8,3,FALSE)</f>
        <v>2</v>
      </c>
      <c r="E30" s="33">
        <f>ROUNDDOWN(Clebina!$G$2/2,0)</f>
        <v>3</v>
      </c>
      <c r="F30" s="33">
        <f>IF(Tabela1[[#This Row],[Treinada?]]="sim",VLOOKUP(Clebina!$G$2,'uns dados aí'!$I$2:$K$22,2,TRUE),"")</f>
        <v>5</v>
      </c>
      <c r="G30" s="33"/>
      <c r="H30" s="33"/>
      <c r="I30" s="33"/>
      <c r="J30" s="33">
        <f>SUM(Tabela1[[#This Row],[MOD]:[Bônus Habilidade]])-IF(Tabela1[[#This Row],[Penalidade de Armadura?]]="sim",Clebina!$D$16,0)</f>
        <v>10</v>
      </c>
      <c r="K30" s="33" t="s">
        <v>143</v>
      </c>
      <c r="L30" s="33" t="s">
        <v>142</v>
      </c>
      <c r="M30" s="44" t="s">
        <v>142</v>
      </c>
    </row>
    <row r="31" ht="14.25" spans="2:13">
      <c r="B31" s="30" t="s">
        <v>176</v>
      </c>
      <c r="C31" s="31" t="s">
        <v>154</v>
      </c>
      <c r="D31" s="31">
        <f>VLOOKUP(C31,Clebina!$B$3:$D$8,3,FALSE)</f>
        <v>4</v>
      </c>
      <c r="E31" s="31">
        <f>ROUNDDOWN(Clebina!$G$2/2,0)</f>
        <v>3</v>
      </c>
      <c r="F31" s="31" t="str">
        <f>IF(Tabela1[[#This Row],[Treinada?]]="sim",VLOOKUP(Clebina!$G$2,'uns dados aí'!$I$2:$K$22,2,TRUE),"")</f>
        <v/>
      </c>
      <c r="G31" s="31"/>
      <c r="H31" s="31"/>
      <c r="I31" s="31"/>
      <c r="J31" s="31">
        <f>SUM(Tabela1[[#This Row],[MOD]:[Bônus Habilidade]])-IF(Tabela1[[#This Row],[Penalidade de Armadura?]]="sim",Clebina!$D$16,0)</f>
        <v>7</v>
      </c>
      <c r="K31" s="31" t="s">
        <v>141</v>
      </c>
      <c r="L31" s="31" t="s">
        <v>143</v>
      </c>
      <c r="M31" s="41" t="s">
        <v>142</v>
      </c>
    </row>
    <row r="32" ht="15" spans="2:13">
      <c r="B32" s="32" t="s">
        <v>177</v>
      </c>
      <c r="C32" s="33" t="s">
        <v>154</v>
      </c>
      <c r="D32" s="33">
        <f>VLOOKUP(C32,Clebina!$B$3:$D$8,3,FALSE)</f>
        <v>4</v>
      </c>
      <c r="E32" s="33">
        <f>ROUNDDOWN(Clebina!$G$2/2,0)</f>
        <v>3</v>
      </c>
      <c r="F32" s="33" t="str">
        <f>IF(Tabela1[[#This Row],[Treinada?]]="sim",VLOOKUP(Clebina!$G$2,'uns dados aí'!$I$2:$K$22,2,TRUE),"")</f>
        <v/>
      </c>
      <c r="G32" s="33"/>
      <c r="H32" s="33"/>
      <c r="I32" s="33"/>
      <c r="J32" s="33">
        <f>SUM(Tabela1[[#This Row],[MOD]:[Bônus Habilidade]])-IF(Tabela1[[#This Row],[Penalidade de Armadura?]]="sim",Clebina!$D$16,0)</f>
        <v>7</v>
      </c>
      <c r="K32" s="33" t="s">
        <v>141</v>
      </c>
      <c r="L32" s="33" t="s">
        <v>142</v>
      </c>
      <c r="M32" s="44" t="s">
        <v>142</v>
      </c>
    </row>
    <row r="33" ht="14.25" spans="2:13">
      <c r="B33" s="35" t="s">
        <v>178</v>
      </c>
      <c r="C33" s="36" t="s">
        <v>154</v>
      </c>
      <c r="D33" s="36">
        <f>VLOOKUP(C33,Clebina!$B$3:$D$8,3,FALSE)</f>
        <v>4</v>
      </c>
      <c r="E33" s="36">
        <f>ROUNDDOWN(Clebina!$G$2/2,0)</f>
        <v>3</v>
      </c>
      <c r="F33" s="36">
        <f>IF(Tabela1[[#This Row],[Treinada?]]="sim",VLOOKUP(Clebina!$G$2,'uns dados aí'!$I$2:$K$22,2,TRUE),"")</f>
        <v>5</v>
      </c>
      <c r="G33" s="36"/>
      <c r="H33" s="36"/>
      <c r="I33" s="36"/>
      <c r="J33" s="36">
        <f>SUM(Tabela1[[#This Row],[MOD]:[Bônus Habilidade]])-IF(Tabela1[[#This Row],[Penalidade de Armadura?]]="sim",Clebina!$D$16,0)</f>
        <v>12</v>
      </c>
      <c r="K33" s="36" t="s">
        <v>143</v>
      </c>
      <c r="L33" s="36" t="s">
        <v>142</v>
      </c>
      <c r="M33" s="51"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8" t="s">
        <v>130</v>
      </c>
      <c r="C2" s="29" t="s">
        <v>131</v>
      </c>
      <c r="D2" s="29" t="s">
        <v>1</v>
      </c>
      <c r="E2" s="29" t="s">
        <v>132</v>
      </c>
      <c r="F2" s="29" t="s">
        <v>133</v>
      </c>
      <c r="G2" s="29" t="s">
        <v>41</v>
      </c>
      <c r="H2" s="29" t="s">
        <v>24</v>
      </c>
      <c r="I2" s="29" t="s">
        <v>134</v>
      </c>
      <c r="J2" s="29" t="s">
        <v>78</v>
      </c>
      <c r="K2" s="37" t="s">
        <v>135</v>
      </c>
      <c r="L2" s="37" t="s">
        <v>136</v>
      </c>
      <c r="M2" s="38" t="s">
        <v>137</v>
      </c>
      <c r="O2" s="39" t="s">
        <v>138</v>
      </c>
      <c r="P2" s="40"/>
    </row>
    <row r="3" ht="14.25" spans="2:16">
      <c r="B3" s="30" t="s">
        <v>139</v>
      </c>
      <c r="C3" s="31" t="s">
        <v>140</v>
      </c>
      <c r="D3" s="31">
        <f>VLOOKUP(C3,Clebina!$B$3:$D$8,3,FALSE)</f>
        <v>2</v>
      </c>
      <c r="E3" s="31">
        <f>VLOOKUP(Clebina!$G$2,'uns dados aí'!$I$3:$K$22,2,FALSE)</f>
        <v>5</v>
      </c>
      <c r="F3" s="31" t="str">
        <f>IF(Tabela14[[#This Row],[Treinada?]]="sim",VLOOKUP(Clebina!$G$2,'uns dados aí'!$E$2:$F$4,2,TRUE),"")</f>
        <v/>
      </c>
      <c r="G3" s="31"/>
      <c r="H3" s="31"/>
      <c r="I3" s="31"/>
      <c r="J3" s="31">
        <f>SUM(Tabela14[[#This Row],[MOD]:[Bônus Habilidade]])-IF(Tabela14[[#This Row],[Penalidade de Armadura?]]="sim",Clebina!D16,0)</f>
        <v>-3</v>
      </c>
      <c r="K3" s="31" t="s">
        <v>141</v>
      </c>
      <c r="L3" s="31" t="s">
        <v>142</v>
      </c>
      <c r="M3" s="41" t="s">
        <v>143</v>
      </c>
      <c r="O3" s="42" t="s">
        <v>34</v>
      </c>
      <c r="P3" s="43">
        <v>2</v>
      </c>
    </row>
    <row r="4" ht="15" spans="2:16">
      <c r="B4" s="32" t="s">
        <v>144</v>
      </c>
      <c r="C4" s="33" t="s">
        <v>145</v>
      </c>
      <c r="D4" s="33">
        <f>VLOOKUP(C4,Clebina!$B$3:$D$8,3,FALSE)</f>
        <v>1</v>
      </c>
      <c r="E4" s="33">
        <f>VLOOKUP(Clebina!$G$2,'uns dados aí'!$I$3:$K$22,2,FALSE)</f>
        <v>5</v>
      </c>
      <c r="F4" s="33" t="str">
        <f>IF(Tabela14[[#This Row],[Treinada?]]="sim",VLOOKUP(Clebina!$G$2,'uns dados aí'!$E$2:$F$4,2,TRUE),"")</f>
        <v/>
      </c>
      <c r="G4" s="33"/>
      <c r="H4" s="33"/>
      <c r="I4" s="33"/>
      <c r="J4" s="33">
        <f>SUM(Tabela14[[#This Row],[MOD]:[Bônus Habilidade]])-IF(Tabela14[[#This Row],[Penalidade de Armadura?]]="sim",Clebina!D17,0)</f>
        <v>6</v>
      </c>
      <c r="K4" s="33" t="s">
        <v>141</v>
      </c>
      <c r="L4" s="33" t="s">
        <v>143</v>
      </c>
      <c r="M4" s="44" t="s">
        <v>142</v>
      </c>
      <c r="O4" s="45" t="s">
        <v>57</v>
      </c>
      <c r="P4" s="46">
        <v>4</v>
      </c>
    </row>
    <row r="5" ht="15" spans="2:16">
      <c r="B5" s="30" t="s">
        <v>146</v>
      </c>
      <c r="C5" s="31" t="s">
        <v>147</v>
      </c>
      <c r="D5" s="31">
        <f>VLOOKUP(C5,Clebina!$B$3:$D$8,3,FALSE)</f>
        <v>3</v>
      </c>
      <c r="E5" s="31">
        <f>VLOOKUP(Clebina!$G$2,'uns dados aí'!$I$3:$K$22,2,FALSE)</f>
        <v>5</v>
      </c>
      <c r="F5" s="31" t="str">
        <f>IF(Tabela14[[#This Row],[Treinada?]]="sim",VLOOKUP(Clebina!$G$2,'uns dados aí'!$E$2:$F$4,2,TRUE),"")</f>
        <v/>
      </c>
      <c r="G5" s="31"/>
      <c r="H5" s="31"/>
      <c r="I5" s="31"/>
      <c r="J5" s="31">
        <f>SUM(Tabela14[[#This Row],[MOD]:[Bônus Habilidade]])-IF(Tabela14[[#This Row],[Penalidade de Armadura?]]="sim",Poderes!C1,0)</f>
        <v>8</v>
      </c>
      <c r="K5" s="31" t="s">
        <v>141</v>
      </c>
      <c r="L5" s="31" t="s">
        <v>142</v>
      </c>
      <c r="M5" s="41" t="s">
        <v>142</v>
      </c>
      <c r="O5" s="47" t="s">
        <v>70</v>
      </c>
      <c r="P5" s="48">
        <v>6</v>
      </c>
    </row>
    <row r="6" ht="16.5" spans="2:13">
      <c r="B6" s="32" t="s">
        <v>148</v>
      </c>
      <c r="C6" s="33" t="s">
        <v>145</v>
      </c>
      <c r="D6" s="33">
        <f>VLOOKUP(C6,Clebina!$B$3:$D$8,3,FALSE)</f>
        <v>1</v>
      </c>
      <c r="E6" s="33">
        <f>VLOOKUP(Clebina!$G$2,'uns dados aí'!$I$3:$K$22,2,FALSE)</f>
        <v>5</v>
      </c>
      <c r="F6" s="33" t="str">
        <f>IF(Tabela14[[#This Row],[Treinada?]]="sim",VLOOKUP(Clebina!$G$2,'uns dados aí'!$E$2:$F$4,2,TRUE),"")</f>
        <v/>
      </c>
      <c r="G6" s="33"/>
      <c r="H6" s="33"/>
      <c r="I6" s="33"/>
      <c r="J6" s="33">
        <f>SUM(Tabela14[[#This Row],[MOD]:[Bônus Habilidade]])-IF(Tabela14[[#This Row],[Penalidade de Armadura?]]="sim",Poderes!C2,0)</f>
        <v>6</v>
      </c>
      <c r="K6" s="33" t="s">
        <v>141</v>
      </c>
      <c r="L6" s="33" t="s">
        <v>142</v>
      </c>
      <c r="M6" s="44" t="s">
        <v>142</v>
      </c>
    </row>
    <row r="7" ht="15.75" customHeight="1" spans="2:16">
      <c r="B7" s="30" t="s">
        <v>149</v>
      </c>
      <c r="C7" s="31" t="s">
        <v>140</v>
      </c>
      <c r="D7" s="31">
        <f>VLOOKUP(C7,Clebina!$B$3:$D$8,3,FALSE)</f>
        <v>2</v>
      </c>
      <c r="E7" s="31">
        <f>VLOOKUP(Clebina!$G$2,'uns dados aí'!$I$3:$K$22,2,FALSE)</f>
        <v>5</v>
      </c>
      <c r="F7" s="31" t="str">
        <f>IF(Tabela14[[#This Row],[Treinada?]]="sim",VLOOKUP(Clebina!$G$2,'uns dados aí'!$E$2:$F$4,2,TRUE),"")</f>
        <v/>
      </c>
      <c r="G7" s="31"/>
      <c r="H7" s="31"/>
      <c r="I7" s="31"/>
      <c r="J7" s="31">
        <f>SUM(Tabela14[[#This Row],[MOD]:[Bônus Habilidade]])-IF(Tabela14[[#This Row],[Penalidade de Armadura?]]="sim",Poderes!C3,0)</f>
        <v>7</v>
      </c>
      <c r="K7" s="31" t="s">
        <v>141</v>
      </c>
      <c r="L7" s="31" t="s">
        <v>142</v>
      </c>
      <c r="M7" s="41" t="s">
        <v>142</v>
      </c>
      <c r="O7" s="39" t="s">
        <v>150</v>
      </c>
      <c r="P7" s="40"/>
    </row>
    <row r="8" ht="15" customHeight="1" spans="2:16">
      <c r="B8" s="32" t="s">
        <v>151</v>
      </c>
      <c r="C8" s="33" t="s">
        <v>152</v>
      </c>
      <c r="D8" s="33">
        <f>VLOOKUP(C8,Clebina!$B$3:$D$8,3,FALSE)</f>
        <v>6</v>
      </c>
      <c r="E8" s="33">
        <f>VLOOKUP(Clebina!$G$2,'uns dados aí'!$I$3:$K$22,2,FALSE)</f>
        <v>5</v>
      </c>
      <c r="F8" s="33">
        <f>IF(Tabela14[[#This Row],[Treinada?]]="sim",VLOOKUP(Clebina!$G$2,'uns dados aí'!$E$2:$F$4,2,TRUE),"")</f>
        <v>2</v>
      </c>
      <c r="G8" s="33"/>
      <c r="H8" s="33"/>
      <c r="I8" s="33"/>
      <c r="J8" s="33">
        <f>SUM(Tabela14[[#This Row],[MOD]:[Bônus Habilidade]])-IF(Tabela14[[#This Row],[Penalidade de Armadura?]]="sim",Poderes!C4,0)</f>
        <v>13</v>
      </c>
      <c r="K8" s="33" t="s">
        <v>143</v>
      </c>
      <c r="L8" s="33" t="s">
        <v>143</v>
      </c>
      <c r="M8" s="44" t="s">
        <v>142</v>
      </c>
      <c r="O8" s="42" t="s">
        <v>4</v>
      </c>
      <c r="P8" s="43">
        <f>VLOOKUP(O8,'uns dados aí'!$B$16:$E$22,4,FALSE)</f>
        <v>0</v>
      </c>
    </row>
    <row r="9" ht="15" spans="2:16">
      <c r="B9" s="30" t="s">
        <v>153</v>
      </c>
      <c r="C9" s="31" t="s">
        <v>154</v>
      </c>
      <c r="D9" s="31">
        <f>VLOOKUP(C9,Clebina!$B$3:$D$8,3,FALSE)</f>
        <v>4</v>
      </c>
      <c r="E9" s="31">
        <f>VLOOKUP(Clebina!$G$2,'uns dados aí'!$I$3:$K$22,2,FALSE)</f>
        <v>5</v>
      </c>
      <c r="F9" s="31">
        <f>IF(Tabela14[[#This Row],[Treinada?]]="sim",VLOOKUP(Clebina!$G$2,'uns dados aí'!$E$2:$F$4,2,TRUE),"")</f>
        <v>2</v>
      </c>
      <c r="G9" s="31"/>
      <c r="H9" s="31"/>
      <c r="I9" s="31"/>
      <c r="J9" s="31">
        <f>SUM(Tabela14[[#This Row],[MOD]:[Bônus Habilidade]])-IF(Tabela14[[#This Row],[Penalidade de Armadura?]]="sim",Poderes!C5,0)</f>
        <v>11</v>
      </c>
      <c r="K9" s="31" t="s">
        <v>143</v>
      </c>
      <c r="L9" s="31" t="s">
        <v>142</v>
      </c>
      <c r="M9" s="41" t="s">
        <v>142</v>
      </c>
      <c r="O9" s="45" t="s">
        <v>9</v>
      </c>
      <c r="P9" s="46">
        <f>VLOOKUP(O9,'uns dados aí'!$B$16:$E$22,4,FALSE)</f>
        <v>2</v>
      </c>
    </row>
    <row r="10" ht="15" spans="2:16">
      <c r="B10" s="32" t="s">
        <v>155</v>
      </c>
      <c r="C10" s="33" t="s">
        <v>145</v>
      </c>
      <c r="D10" s="33">
        <f>VLOOKUP(C10,Clebina!$B$3:$D$8,3,FALSE)</f>
        <v>1</v>
      </c>
      <c r="E10" s="33">
        <f>VLOOKUP(Clebina!$G$2,'uns dados aí'!$I$3:$K$22,2,FALSE)</f>
        <v>5</v>
      </c>
      <c r="F10" s="33" t="str">
        <f>IF(Tabela14[[#This Row],[Treinada?]]="sim",VLOOKUP(Clebina!$G$2,'uns dados aí'!$E$2:$F$4,2,TRUE),"")</f>
        <v/>
      </c>
      <c r="G10" s="33"/>
      <c r="H10" s="33"/>
      <c r="I10" s="33"/>
      <c r="J10" s="33">
        <f>SUM(Tabela14[[#This Row],[MOD]:[Bônus Habilidade]])-IF(Tabela14[[#This Row],[Penalidade de Armadura?]]="sim",Poderes!C6,0)</f>
        <v>6</v>
      </c>
      <c r="K10" s="33" t="s">
        <v>141</v>
      </c>
      <c r="L10" s="33" t="s">
        <v>142</v>
      </c>
      <c r="M10" s="44" t="s">
        <v>142</v>
      </c>
      <c r="O10" s="42" t="s">
        <v>10</v>
      </c>
      <c r="P10" s="43">
        <f>VLOOKUP(O10,'uns dados aí'!$B$16:$E$22,4,FALSE)</f>
        <v>-2</v>
      </c>
    </row>
    <row r="11" ht="15" spans="2:16">
      <c r="B11" s="30" t="s">
        <v>156</v>
      </c>
      <c r="C11" s="31" t="s">
        <v>145</v>
      </c>
      <c r="D11" s="31">
        <f>VLOOKUP(C11,Clebina!$B$3:$D$8,3,FALSE)</f>
        <v>1</v>
      </c>
      <c r="E11" s="31">
        <f>VLOOKUP(Clebina!$G$2,'uns dados aí'!$I$3:$K$22,2,FALSE)</f>
        <v>5</v>
      </c>
      <c r="F11" s="31" t="str">
        <f>IF(Tabela14[[#This Row],[Treinada?]]="sim",VLOOKUP(Clebina!$G$2,'uns dados aí'!$E$2:$F$4,2,TRUE),"")</f>
        <v/>
      </c>
      <c r="G11" s="31"/>
      <c r="H11" s="31"/>
      <c r="I11" s="31"/>
      <c r="J11" s="31">
        <f>SUM(Tabela14[[#This Row],[MOD]:[Bônus Habilidade]])-IF(Tabela14[[#This Row],[Penalidade de Armadura?]]="sim",Poderes!C7,0)</f>
        <v>6</v>
      </c>
      <c r="K11" s="31" t="s">
        <v>141</v>
      </c>
      <c r="L11" s="31" t="s">
        <v>142</v>
      </c>
      <c r="M11" s="41" t="s">
        <v>142</v>
      </c>
      <c r="O11" s="45" t="s">
        <v>12</v>
      </c>
      <c r="P11" s="46">
        <f>VLOOKUP(O11,'uns dados aí'!$B$16:$E$22,4,FALSE)</f>
        <v>4</v>
      </c>
    </row>
    <row r="12" ht="15" spans="2:16">
      <c r="B12" s="32" t="s">
        <v>157</v>
      </c>
      <c r="C12" s="33" t="s">
        <v>158</v>
      </c>
      <c r="D12" s="33">
        <f>VLOOKUP(C12,Clebina!$B$3:$D$8,3,FALSE)</f>
        <v>1</v>
      </c>
      <c r="E12" s="33">
        <f>VLOOKUP(Clebina!$G$2,'uns dados aí'!$I$3:$K$22,2,FALSE)</f>
        <v>5</v>
      </c>
      <c r="F12" s="33" t="str">
        <f>IF(Tabela14[[#This Row],[Treinada?]]="sim",VLOOKUP(Clebina!$G$2,'uns dados aí'!$E$2:$F$4,2,TRUE),"")</f>
        <v/>
      </c>
      <c r="G12" s="33"/>
      <c r="H12" s="33"/>
      <c r="I12" s="33"/>
      <c r="J12" s="33">
        <f>SUM(Tabela14[[#This Row],[MOD]:[Bônus Habilidade]])-IF(Tabela14[[#This Row],[Penalidade de Armadura?]]="sim",Poderes!C8,0)</f>
        <v>6</v>
      </c>
      <c r="K12" s="33" t="s">
        <v>141</v>
      </c>
      <c r="L12" s="33" t="s">
        <v>142</v>
      </c>
      <c r="M12" s="44" t="s">
        <v>142</v>
      </c>
      <c r="O12" s="42" t="s">
        <v>14</v>
      </c>
      <c r="P12" s="43">
        <f>VLOOKUP(O12,'uns dados aí'!$B$16:$E$22,4,FALSE)</f>
        <v>2</v>
      </c>
    </row>
    <row r="13" ht="15.75" spans="2:16">
      <c r="B13" s="30" t="s">
        <v>159</v>
      </c>
      <c r="C13" s="31" t="s">
        <v>140</v>
      </c>
      <c r="D13" s="31">
        <f>VLOOKUP(C13,Clebina!$B$3:$D$8,3,FALSE)</f>
        <v>2</v>
      </c>
      <c r="E13" s="31">
        <f>VLOOKUP(Clebina!$G$2,'uns dados aí'!$I$3:$K$22,2,FALSE)</f>
        <v>5</v>
      </c>
      <c r="F13" s="31" t="str">
        <f>IF(Tabela14[[#This Row],[Treinada?]]="sim",VLOOKUP(Clebina!$G$2,'uns dados aí'!$E$2:$F$4,2,TRUE),"")</f>
        <v/>
      </c>
      <c r="G13" s="31"/>
      <c r="H13" s="31"/>
      <c r="I13" s="31"/>
      <c r="J13" s="31">
        <f>SUM(Tabela14[[#This Row],[MOD]:[Bônus Habilidade]])-IF(Tabela14[[#This Row],[Penalidade de Armadura?]]="sim",Poderes!C9,0)</f>
        <v>7</v>
      </c>
      <c r="K13" s="31" t="s">
        <v>141</v>
      </c>
      <c r="L13" s="31" t="s">
        <v>142</v>
      </c>
      <c r="M13" s="41" t="s">
        <v>143</v>
      </c>
      <c r="O13" s="49" t="s">
        <v>16</v>
      </c>
      <c r="P13" s="50">
        <f>VLOOKUP(O13,'uns dados aí'!$B$16:$E$22,4,FALSE)</f>
        <v>0</v>
      </c>
    </row>
    <row r="14" ht="15.75" spans="2:13">
      <c r="B14" s="32" t="s">
        <v>160</v>
      </c>
      <c r="C14" s="33" t="s">
        <v>152</v>
      </c>
      <c r="D14" s="33">
        <f>VLOOKUP(C14,Clebina!$B$3:$D$8,3,FALSE)</f>
        <v>6</v>
      </c>
      <c r="E14" s="33">
        <f>VLOOKUP(Clebina!$G$2,'uns dados aí'!$I$3:$K$22,2,FALSE)</f>
        <v>5</v>
      </c>
      <c r="F14" s="33">
        <f>IF(Tabela14[[#This Row],[Treinada?]]="sim",VLOOKUP(Clebina!$G$2,'uns dados aí'!$E$2:$F$4,2,TRUE),"")</f>
        <v>2</v>
      </c>
      <c r="G14" s="33"/>
      <c r="H14" s="33">
        <v>1</v>
      </c>
      <c r="I14" s="33"/>
      <c r="J14" s="33">
        <f>SUM(Tabela14[[#This Row],[MOD]:[Bônus Habilidade]])-IF(Tabela14[[#This Row],[Penalidade de Armadura?]]="sim",Poderes!C10,0)</f>
        <v>14</v>
      </c>
      <c r="K14" s="33" t="s">
        <v>143</v>
      </c>
      <c r="L14" s="33" t="s">
        <v>143</v>
      </c>
      <c r="M14" s="44" t="s">
        <v>142</v>
      </c>
    </row>
    <row r="15" ht="14.25" spans="2:13">
      <c r="B15" s="30" t="s">
        <v>161</v>
      </c>
      <c r="C15" s="31" t="s">
        <v>140</v>
      </c>
      <c r="D15" s="31">
        <f>VLOOKUP(C15,Clebina!$B$3:$D$8,3,FALSE)</f>
        <v>2</v>
      </c>
      <c r="E15" s="31">
        <f>VLOOKUP(Clebina!$G$2,'uns dados aí'!$I$3:$K$22,2,FALSE)</f>
        <v>5</v>
      </c>
      <c r="F15" s="31" t="str">
        <f>IF(Tabela14[[#This Row],[Treinada?]]="sim",VLOOKUP(Clebina!$G$2,'uns dados aí'!$E$2:$F$4,2,TRUE),"")</f>
        <v/>
      </c>
      <c r="G15" s="31"/>
      <c r="H15" s="31"/>
      <c r="I15" s="31"/>
      <c r="J15" s="31">
        <f>SUM(Tabela14[[#This Row],[MOD]:[Bônus Habilidade]])-IF(Tabela14[[#This Row],[Penalidade de Armadura?]]="sim",Poderes!C11,0)</f>
        <v>7</v>
      </c>
      <c r="K15" s="31" t="s">
        <v>141</v>
      </c>
      <c r="L15" s="31" t="s">
        <v>142</v>
      </c>
      <c r="M15" s="41" t="s">
        <v>142</v>
      </c>
    </row>
    <row r="16" ht="15" spans="2:13">
      <c r="B16" s="32" t="s">
        <v>162</v>
      </c>
      <c r="C16" s="33" t="s">
        <v>145</v>
      </c>
      <c r="D16" s="33">
        <f>VLOOKUP(C16,Clebina!$B$3:$D$8,3,FALSE)</f>
        <v>1</v>
      </c>
      <c r="E16" s="33">
        <f>VLOOKUP(Clebina!$G$2,'uns dados aí'!$I$3:$K$22,2,FALSE)</f>
        <v>5</v>
      </c>
      <c r="F16" s="33" t="str">
        <f>IF(Tabela14[[#This Row],[Treinada?]]="sim",VLOOKUP(Clebina!$G$2,'uns dados aí'!$E$2:$F$4,2,TRUE),"")</f>
        <v/>
      </c>
      <c r="G16" s="33"/>
      <c r="H16" s="33"/>
      <c r="I16" s="33"/>
      <c r="J16" s="33">
        <f>SUM(Tabela14[[#This Row],[MOD]:[Bônus Habilidade]])-IF(Tabela14[[#This Row],[Penalidade de Armadura?]]="sim",Poderes!C12,0)</f>
        <v>6</v>
      </c>
      <c r="K16" s="33" t="s">
        <v>141</v>
      </c>
      <c r="L16" s="33" t="s">
        <v>142</v>
      </c>
      <c r="M16" s="44" t="s">
        <v>142</v>
      </c>
    </row>
    <row r="17" ht="14.25" spans="2:13">
      <c r="B17" s="30" t="s">
        <v>163</v>
      </c>
      <c r="C17" s="31" t="s">
        <v>154</v>
      </c>
      <c r="D17" s="31">
        <f>VLOOKUP(C17,Clebina!$B$3:$D$8,3,FALSE)</f>
        <v>4</v>
      </c>
      <c r="E17" s="31">
        <f>VLOOKUP(Clebina!$G$2,'uns dados aí'!$I$3:$K$22,2,FALSE)</f>
        <v>5</v>
      </c>
      <c r="F17" s="31" t="str">
        <f>IF(Tabela14[[#This Row],[Treinada?]]="sim",VLOOKUP(Clebina!$G$2,'uns dados aí'!$E$2:$F$4,2,TRUE),"")</f>
        <v/>
      </c>
      <c r="G17" s="31"/>
      <c r="H17" s="31"/>
      <c r="I17" s="31"/>
      <c r="J17" s="31">
        <f>SUM(Tabela14[[#This Row],[MOD]:[Bônus Habilidade]])-IF(Tabela14[[#This Row],[Penalidade de Armadura?]]="sim",Poderes!C13,0)</f>
        <v>9</v>
      </c>
      <c r="K17" s="31" t="s">
        <v>141</v>
      </c>
      <c r="L17" s="31" t="s">
        <v>142</v>
      </c>
      <c r="M17" s="41" t="s">
        <v>142</v>
      </c>
    </row>
    <row r="18" ht="15" spans="2:13">
      <c r="B18" s="32" t="s">
        <v>164</v>
      </c>
      <c r="C18" s="33" t="s">
        <v>152</v>
      </c>
      <c r="D18" s="33">
        <f>VLOOKUP(C18,Clebina!$B$3:$D$8,3,FALSE)</f>
        <v>6</v>
      </c>
      <c r="E18" s="33">
        <f>VLOOKUP(Clebina!$G$2,'uns dados aí'!$I$3:$K$22,2,FALSE)</f>
        <v>5</v>
      </c>
      <c r="F18" s="33">
        <f>IF(Tabela14[[#This Row],[Treinada?]]="sim",VLOOKUP(Clebina!$G$2,'uns dados aí'!$E$2:$F$4,2,TRUE),"")</f>
        <v>2</v>
      </c>
      <c r="G18" s="33"/>
      <c r="H18" s="33"/>
      <c r="I18" s="33"/>
      <c r="J18" s="33">
        <f>SUM(Tabela14[[#This Row],[MOD]:[Bônus Habilidade]])-IF(Tabela14[[#This Row],[Penalidade de Armadura?]]="sim",Poderes!C14,0)</f>
        <v>13</v>
      </c>
      <c r="K18" s="33" t="s">
        <v>143</v>
      </c>
      <c r="L18" s="33" t="s">
        <v>142</v>
      </c>
      <c r="M18" s="44" t="s">
        <v>142</v>
      </c>
    </row>
    <row r="19" ht="14.25" spans="2:13">
      <c r="B19" s="30" t="s">
        <v>165</v>
      </c>
      <c r="C19" s="31" t="s">
        <v>145</v>
      </c>
      <c r="D19" s="31">
        <f>VLOOKUP(C19,Clebina!$B$3:$D$8,3,FALSE)</f>
        <v>1</v>
      </c>
      <c r="E19" s="31">
        <f>VLOOKUP(Clebina!$G$2,'uns dados aí'!$I$3:$K$22,2,FALSE)</f>
        <v>5</v>
      </c>
      <c r="F19" s="31" t="str">
        <f>IF(Tabela14[[#This Row],[Treinada?]]="sim",VLOOKUP(Clebina!$G$2,'uns dados aí'!$E$2:$F$4,2,TRUE),"")</f>
        <v/>
      </c>
      <c r="G19" s="31"/>
      <c r="H19" s="31"/>
      <c r="I19" s="31"/>
      <c r="J19" s="31">
        <f>SUM(Tabela14[[#This Row],[MOD]:[Bônus Habilidade]])-IF(Tabela14[[#This Row],[Penalidade de Armadura?]]="sim",Poderes!C15,0)</f>
        <v>6</v>
      </c>
      <c r="K19" s="31" t="s">
        <v>141</v>
      </c>
      <c r="L19" s="31" t="s">
        <v>143</v>
      </c>
      <c r="M19" s="41" t="s">
        <v>142</v>
      </c>
    </row>
    <row r="20" ht="15" spans="2:13">
      <c r="B20" s="32" t="s">
        <v>166</v>
      </c>
      <c r="C20" s="33" t="s">
        <v>140</v>
      </c>
      <c r="D20" s="33">
        <f>VLOOKUP(C20,Clebina!$B$3:$D$8,3,FALSE)</f>
        <v>2</v>
      </c>
      <c r="E20" s="33">
        <f>VLOOKUP(Clebina!$G$2,'uns dados aí'!$I$3:$K$22,2,FALSE)</f>
        <v>5</v>
      </c>
      <c r="F20" s="33" t="str">
        <f>IF(Tabela14[[#This Row],[Treinada?]]="sim",VLOOKUP(Clebina!$G$2,'uns dados aí'!$E$2:$F$4,2,TRUE),"")</f>
        <v/>
      </c>
      <c r="G20" s="33"/>
      <c r="H20" s="33"/>
      <c r="I20" s="33"/>
      <c r="J20" s="33">
        <f>SUM(Tabela14[[#This Row],[MOD]:[Bônus Habilidade]])-IF(Tabela14[[#This Row],[Penalidade de Armadura?]]="sim",Poderes!C16,0)</f>
        <v>7</v>
      </c>
      <c r="K20" s="33" t="s">
        <v>141</v>
      </c>
      <c r="L20" s="33" t="s">
        <v>143</v>
      </c>
      <c r="M20" s="44" t="s">
        <v>143</v>
      </c>
    </row>
    <row r="21" ht="14.25" spans="2:13">
      <c r="B21" s="30" t="s">
        <v>79</v>
      </c>
      <c r="C21" s="31" t="s">
        <v>147</v>
      </c>
      <c r="D21" s="31">
        <f>VLOOKUP(C21,Clebina!$B$3:$D$8,3,FALSE)</f>
        <v>3</v>
      </c>
      <c r="E21" s="31">
        <f>VLOOKUP(Clebina!$G$2,'uns dados aí'!$I$3:$K$22,2,FALSE)</f>
        <v>5</v>
      </c>
      <c r="F21" s="31">
        <f>IF(Tabela14[[#This Row],[Treinada?]]="sim",VLOOKUP(Clebina!$G$2,'uns dados aí'!$E$2:$F$4,2,TRUE),"")</f>
        <v>2</v>
      </c>
      <c r="G21" s="31"/>
      <c r="H21" s="31"/>
      <c r="I21" s="31"/>
      <c r="J21" s="31">
        <f>SUM(Tabela14[[#This Row],[MOD]:[Bônus Habilidade]])-IF(Tabela14[[#This Row],[Penalidade de Armadura?]]="sim",Poderes!C17,0)</f>
        <v>10</v>
      </c>
      <c r="K21" s="31" t="s">
        <v>143</v>
      </c>
      <c r="L21" s="31" t="s">
        <v>142</v>
      </c>
      <c r="M21" s="41" t="s">
        <v>142</v>
      </c>
    </row>
    <row r="22" ht="15" spans="2:13">
      <c r="B22" s="32" t="s">
        <v>167</v>
      </c>
      <c r="C22" s="33" t="s">
        <v>152</v>
      </c>
      <c r="D22" s="33">
        <f>VLOOKUP(C22,Clebina!$B$3:$D$8,3,FALSE)</f>
        <v>6</v>
      </c>
      <c r="E22" s="33">
        <f>VLOOKUP(Clebina!$G$2,'uns dados aí'!$I$3:$K$22,2,FALSE)</f>
        <v>5</v>
      </c>
      <c r="F22" s="33">
        <f>IF(Tabela14[[#This Row],[Treinada?]]="sim",VLOOKUP(Clebina!$G$2,'uns dados aí'!$E$2:$F$4,2,TRUE),"")</f>
        <v>2</v>
      </c>
      <c r="G22" s="33">
        <v>2</v>
      </c>
      <c r="H22" s="33"/>
      <c r="I22" s="33"/>
      <c r="J22" s="33">
        <f>SUM(Tabela14[[#This Row],[MOD]:[Bônus Habilidade]])-IF(Tabela14[[#This Row],[Penalidade de Armadura?]]="sim",Poderes!C18,0)</f>
        <v>15</v>
      </c>
      <c r="K22" s="33" t="s">
        <v>143</v>
      </c>
      <c r="L22" s="33" t="s">
        <v>143</v>
      </c>
      <c r="M22" s="44" t="s">
        <v>142</v>
      </c>
    </row>
    <row r="23" ht="14.25" spans="2:13">
      <c r="B23" s="30" t="s">
        <v>168</v>
      </c>
      <c r="C23" s="31" t="s">
        <v>152</v>
      </c>
      <c r="D23" s="31">
        <f>VLOOKUP(C23,Clebina!$B$3:$D$8,3,FALSE)</f>
        <v>6</v>
      </c>
      <c r="E23" s="31">
        <f>VLOOKUP(Clebina!$G$2,'uns dados aí'!$I$3:$K$22,2,FALSE)</f>
        <v>5</v>
      </c>
      <c r="F23" s="31" t="str">
        <f>IF(Tabela14[[#This Row],[Treinada?]]="sim",VLOOKUP(Clebina!$G$2,'uns dados aí'!$E$2:$F$4,2,TRUE),"")</f>
        <v/>
      </c>
      <c r="G23" s="31"/>
      <c r="H23" s="31"/>
      <c r="I23" s="31"/>
      <c r="J23" s="31">
        <f>SUM(Tabela14[[#This Row],[MOD]:[Bônus Habilidade]])-IF(Tabela14[[#This Row],[Penalidade de Armadura?]]="sim",Poderes!C19,0)</f>
        <v>11</v>
      </c>
      <c r="K23" s="31" t="s">
        <v>141</v>
      </c>
      <c r="L23" s="31" t="s">
        <v>143</v>
      </c>
      <c r="M23" s="41" t="s">
        <v>142</v>
      </c>
    </row>
    <row r="24" ht="15" spans="2:13">
      <c r="B24" s="32" t="s">
        <v>169</v>
      </c>
      <c r="C24" s="33" t="s">
        <v>152</v>
      </c>
      <c r="D24" s="33">
        <f>VLOOKUP(C24,Clebina!$B$3:$D$8,3,FALSE)</f>
        <v>6</v>
      </c>
      <c r="E24" s="33">
        <f>VLOOKUP(Clebina!$G$2,'uns dados aí'!$I$3:$K$22,2,FALSE)</f>
        <v>5</v>
      </c>
      <c r="F24" s="33">
        <f>IF(Tabela14[[#This Row],[Treinada?]]="sim",VLOOKUP(Clebina!$G$2,'uns dados aí'!$E$2:$F$4,2,TRUE),"")</f>
        <v>2</v>
      </c>
      <c r="G24" s="33"/>
      <c r="H24" s="33"/>
      <c r="I24" s="33"/>
      <c r="J24" s="33">
        <f>SUM(Tabela14[[#This Row],[MOD]:[Bônus Habilidade]])-IF(Tabela14[[#This Row],[Penalidade de Armadura?]]="sim",Poderes!C20,0)</f>
        <v>13</v>
      </c>
      <c r="K24" s="33" t="s">
        <v>143</v>
      </c>
      <c r="L24" s="33" t="s">
        <v>143</v>
      </c>
      <c r="M24" s="44" t="s">
        <v>142</v>
      </c>
    </row>
    <row r="25" ht="14.25" spans="2:13">
      <c r="B25" s="30" t="s">
        <v>170</v>
      </c>
      <c r="C25" s="31" t="s">
        <v>152</v>
      </c>
      <c r="D25" s="31">
        <f>VLOOKUP(C25,Clebina!$B$3:$D$8,3,FALSE)</f>
        <v>6</v>
      </c>
      <c r="E25" s="31">
        <f>VLOOKUP(Clebina!$G$2,'uns dados aí'!$I$3:$K$22,2,FALSE)</f>
        <v>5</v>
      </c>
      <c r="F25" s="31">
        <f>IF(Tabela14[[#This Row],[Treinada?]]="sim",VLOOKUP(Clebina!$G$2,'uns dados aí'!$E$2:$F$4,2,TRUE),"")</f>
        <v>2</v>
      </c>
      <c r="G25" s="31"/>
      <c r="H25" s="31"/>
      <c r="I25" s="31"/>
      <c r="J25" s="31">
        <f>SUM(Tabela14[[#This Row],[MOD]:[Bônus Habilidade]])-IF(Tabela14[[#This Row],[Penalidade de Armadura?]]="sim",Poderes!C21,0)</f>
        <v>13</v>
      </c>
      <c r="K25" s="31" t="s">
        <v>143</v>
      </c>
      <c r="L25" s="31" t="s">
        <v>143</v>
      </c>
      <c r="M25" s="41" t="s">
        <v>142</v>
      </c>
    </row>
    <row r="26" ht="15" spans="2:13">
      <c r="B26" s="34" t="s">
        <v>171</v>
      </c>
      <c r="C26" s="33" t="s">
        <v>152</v>
      </c>
      <c r="D26" s="33">
        <f>VLOOKUP(C26,Clebina!$B$3:$D$8,3,FALSE)</f>
        <v>6</v>
      </c>
      <c r="E26" s="33">
        <f>VLOOKUP(Clebina!$G$2,'uns dados aí'!$I$3:$K$22,2,FALSE)</f>
        <v>5</v>
      </c>
      <c r="F26" s="33">
        <f>IF(Tabela14[[#This Row],[Treinada?]]="sim",VLOOKUP(Clebina!$G$2,'uns dados aí'!$E$2:$F$4,2,TRUE),"")</f>
        <v>2</v>
      </c>
      <c r="G26" s="33"/>
      <c r="H26" s="33"/>
      <c r="I26" s="33"/>
      <c r="J26" s="33">
        <f>SUM(Tabela14[[#This Row],[MOD]:[Bônus Habilidade]])-IF(Tabela14[[#This Row],[Penalidade de Armadura?]]="sim",Poderes!C22,0)</f>
        <v>13</v>
      </c>
      <c r="K26" s="33" t="s">
        <v>143</v>
      </c>
      <c r="L26" s="33" t="s">
        <v>143</v>
      </c>
      <c r="M26" s="44" t="s">
        <v>142</v>
      </c>
    </row>
    <row r="27" ht="14.25" spans="2:13">
      <c r="B27" s="30" t="s">
        <v>172</v>
      </c>
      <c r="C27" s="31" t="s">
        <v>154</v>
      </c>
      <c r="D27" s="31">
        <f>VLOOKUP(C27,Clebina!$B$3:$D$8,3,FALSE)</f>
        <v>4</v>
      </c>
      <c r="E27" s="31">
        <f>VLOOKUP(Clebina!$G$2,'uns dados aí'!$I$3:$K$22,2,FALSE)</f>
        <v>5</v>
      </c>
      <c r="F27" s="31">
        <f>IF(Tabela14[[#This Row],[Treinada?]]="sim",VLOOKUP(Clebina!$G$2,'uns dados aí'!$E$2:$F$4,2,TRUE),"")</f>
        <v>2</v>
      </c>
      <c r="G27" s="31">
        <v>2</v>
      </c>
      <c r="H27" s="31"/>
      <c r="I27" s="31"/>
      <c r="J27" s="31">
        <f>SUM(Tabela14[[#This Row],[MOD]:[Bônus Habilidade]])-IF(Tabela14[[#This Row],[Penalidade de Armadura?]]="sim",Clebina!D40,0)</f>
        <v>13</v>
      </c>
      <c r="K27" s="31" t="s">
        <v>143</v>
      </c>
      <c r="L27" s="31" t="s">
        <v>142</v>
      </c>
      <c r="M27" s="41" t="s">
        <v>142</v>
      </c>
    </row>
    <row r="28" ht="15" spans="2:13">
      <c r="B28" s="32" t="s">
        <v>173</v>
      </c>
      <c r="C28" s="33" t="s">
        <v>140</v>
      </c>
      <c r="D28" s="33">
        <f>VLOOKUP(C28,Clebina!$B$3:$D$8,3,FALSE)</f>
        <v>2</v>
      </c>
      <c r="E28" s="33">
        <f>VLOOKUP(Clebina!$G$2,'uns dados aí'!$I$3:$K$22,2,FALSE)</f>
        <v>5</v>
      </c>
      <c r="F28" s="33" t="str">
        <f>IF(Tabela14[[#This Row],[Treinada?]]="sim",VLOOKUP(Clebina!$G$2,'uns dados aí'!$E$2:$F$4,2,TRUE),"")</f>
        <v/>
      </c>
      <c r="G28" s="33"/>
      <c r="H28" s="33"/>
      <c r="I28" s="33"/>
      <c r="J28" s="33">
        <f>SUM(Tabela14[[#This Row],[MOD]:[Bônus Habilidade]])-IF(Tabela14[[#This Row],[Penalidade de Armadura?]]="sim",Poderes!K1,0)</f>
        <v>7</v>
      </c>
      <c r="K28" s="33" t="s">
        <v>141</v>
      </c>
      <c r="L28" s="33" t="s">
        <v>143</v>
      </c>
      <c r="M28" s="44" t="s">
        <v>142</v>
      </c>
    </row>
    <row r="29" ht="14.25" spans="2:13">
      <c r="B29" s="30" t="s">
        <v>174</v>
      </c>
      <c r="C29" s="31" t="s">
        <v>140</v>
      </c>
      <c r="D29" s="31">
        <f>VLOOKUP(C29,Clebina!$B$3:$D$8,3,FALSE)</f>
        <v>2</v>
      </c>
      <c r="E29" s="31">
        <f>VLOOKUP(Clebina!$G$2,'uns dados aí'!$I$3:$K$22,2,FALSE)</f>
        <v>5</v>
      </c>
      <c r="F29" s="31" t="str">
        <f>IF(Tabela14[[#This Row],[Treinada?]]="sim",VLOOKUP(Clebina!$G$2,'uns dados aí'!$E$2:$F$4,2,TRUE),"")</f>
        <v/>
      </c>
      <c r="G29" s="31"/>
      <c r="H29" s="31"/>
      <c r="I29" s="31"/>
      <c r="J29" s="31">
        <f>SUM(Tabela14[[#This Row],[MOD]:[Bônus Habilidade]])-IF(Tabela14[[#This Row],[Penalidade de Armadura?]]="sim",Poderes!K2,0)</f>
        <v>7</v>
      </c>
      <c r="K29" s="31" t="s">
        <v>141</v>
      </c>
      <c r="L29" s="31" t="s">
        <v>142</v>
      </c>
      <c r="M29" s="41" t="s">
        <v>142</v>
      </c>
    </row>
    <row r="30" ht="15" spans="2:13">
      <c r="B30" s="32" t="s">
        <v>175</v>
      </c>
      <c r="C30" s="33" t="s">
        <v>140</v>
      </c>
      <c r="D30" s="33">
        <f>VLOOKUP(C30,Clebina!$B$3:$D$8,3,FALSE)</f>
        <v>2</v>
      </c>
      <c r="E30" s="33">
        <f>VLOOKUP(Clebina!$G$2,'uns dados aí'!$I$3:$K$22,2,FALSE)</f>
        <v>5</v>
      </c>
      <c r="F30" s="33">
        <f>IF(Tabela14[[#This Row],[Treinada?]]="sim",VLOOKUP(Clebina!$G$2,'uns dados aí'!$E$2:$F$4,2,TRUE),"")</f>
        <v>2</v>
      </c>
      <c r="G30" s="33"/>
      <c r="H30" s="33"/>
      <c r="I30" s="33"/>
      <c r="J30" s="33">
        <f>SUM(Tabela14[[#This Row],[MOD]:[Bônus Habilidade]])-IF(Tabela14[[#This Row],[Penalidade de Armadura?]]="sim",Poderes!#REF!,0)</f>
        <v>9</v>
      </c>
      <c r="K30" s="33" t="s">
        <v>143</v>
      </c>
      <c r="L30" s="33" t="s">
        <v>142</v>
      </c>
      <c r="M30" s="44" t="s">
        <v>142</v>
      </c>
    </row>
    <row r="31" ht="14.25" spans="2:13">
      <c r="B31" s="30" t="s">
        <v>176</v>
      </c>
      <c r="C31" s="31" t="s">
        <v>154</v>
      </c>
      <c r="D31" s="31">
        <f>VLOOKUP(C31,Clebina!$B$3:$D$8,3,FALSE)</f>
        <v>4</v>
      </c>
      <c r="E31" s="31">
        <f>VLOOKUP(Clebina!$G$2,'uns dados aí'!$I$3:$K$22,2,FALSE)</f>
        <v>5</v>
      </c>
      <c r="F31" s="31">
        <f>IF(Tabela14[[#This Row],[Treinada?]]="sim",VLOOKUP(Clebina!$G$2,'uns dados aí'!$E$2:$F$4,2,TRUE),"")</f>
        <v>2</v>
      </c>
      <c r="G31" s="31"/>
      <c r="H31" s="31"/>
      <c r="I31" s="31"/>
      <c r="J31" s="31">
        <f>SUM(Tabela14[[#This Row],[MOD]:[Bônus Habilidade]])-IF(Tabela14[[#This Row],[Penalidade de Armadura?]]="sim",Poderes!#REF!,0)</f>
        <v>11</v>
      </c>
      <c r="K31" s="31" t="s">
        <v>143</v>
      </c>
      <c r="L31" s="31" t="s">
        <v>143</v>
      </c>
      <c r="M31" s="41" t="s">
        <v>142</v>
      </c>
    </row>
    <row r="32" ht="15" spans="2:13">
      <c r="B32" s="32" t="s">
        <v>177</v>
      </c>
      <c r="C32" s="33" t="s">
        <v>154</v>
      </c>
      <c r="D32" s="33">
        <f>VLOOKUP(C32,Clebina!$B$3:$D$8,3,FALSE)</f>
        <v>4</v>
      </c>
      <c r="E32" s="33">
        <f>VLOOKUP(Clebina!$G$2,'uns dados aí'!$I$3:$K$22,2,FALSE)</f>
        <v>5</v>
      </c>
      <c r="F32" s="33" t="str">
        <f>IF(Tabela14[[#This Row],[Treinada?]]="sim",VLOOKUP(Clebina!$G$2,'uns dados aí'!$E$2:$F$4,2,TRUE),"")</f>
        <v/>
      </c>
      <c r="G32" s="33"/>
      <c r="H32" s="33"/>
      <c r="I32" s="33"/>
      <c r="J32" s="33">
        <f>SUM(Tabela14[[#This Row],[MOD]:[Bônus Habilidade]])-IF(Tabela14[[#This Row],[Penalidade de Armadura?]]="sim",Poderes!#REF!,0)</f>
        <v>9</v>
      </c>
      <c r="K32" s="33" t="s">
        <v>141</v>
      </c>
      <c r="L32" s="33" t="s">
        <v>142</v>
      </c>
      <c r="M32" s="44" t="s">
        <v>142</v>
      </c>
    </row>
    <row r="33" ht="14.25" spans="2:13">
      <c r="B33" s="35" t="s">
        <v>178</v>
      </c>
      <c r="C33" s="36" t="s">
        <v>154</v>
      </c>
      <c r="D33" s="36">
        <f>VLOOKUP(C33,Clebina!$B$3:$D$8,3,FALSE)</f>
        <v>4</v>
      </c>
      <c r="E33" s="36">
        <f>VLOOKUP(Clebina!$G$2,'uns dados aí'!$I$3:$K$22,2,FALSE)</f>
        <v>5</v>
      </c>
      <c r="F33" s="36">
        <f>IF(Tabela14[[#This Row],[Treinada?]]="sim",VLOOKUP(Clebina!$G$2,'uns dados aí'!$E$2:$F$4,2,TRUE),"")</f>
        <v>2</v>
      </c>
      <c r="G33" s="36"/>
      <c r="H33" s="36"/>
      <c r="I33" s="36"/>
      <c r="J33" s="36">
        <f>SUM(Tabela14[[#This Row],[MOD]:[Bônus Habilidade]])-IF(Tabela14[[#This Row],[Penalidade de Armadura?]]="sim",Poderes!#REF!,0)</f>
        <v>11</v>
      </c>
      <c r="K33" s="36" t="s">
        <v>143</v>
      </c>
      <c r="L33" s="36" t="s">
        <v>142</v>
      </c>
      <c r="M33" s="51"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23"/>
  <sheetViews>
    <sheetView zoomScale="130" zoomScaleNormal="130" workbookViewId="0">
      <selection activeCell="F23" sqref="F23"/>
    </sheetView>
  </sheetViews>
  <sheetFormatPr defaultColWidth="9" defaultRowHeight="13.5"/>
  <cols>
    <col min="2" max="3" width="10.25" customWidth="1"/>
    <col min="4" max="4" width="12.25" customWidth="1"/>
    <col min="8" max="8" width="20.25" customWidth="1"/>
    <col min="9" max="9" width="19.875" customWidth="1"/>
    <col min="10" max="10" width="23.125" customWidth="1"/>
    <col min="11" max="11" width="17" customWidth="1"/>
  </cols>
  <sheetData>
    <row r="1" ht="14.25"/>
    <row r="2" ht="15.75" spans="2:14">
      <c r="B2" s="1" t="s">
        <v>179</v>
      </c>
      <c r="C2" s="2"/>
      <c r="E2" s="1">
        <v>1</v>
      </c>
      <c r="F2" s="2">
        <v>2</v>
      </c>
      <c r="H2" s="15" t="s">
        <v>180</v>
      </c>
      <c r="I2" s="21" t="s">
        <v>181</v>
      </c>
      <c r="J2" s="22" t="s">
        <v>182</v>
      </c>
      <c r="K2" s="2" t="s">
        <v>183</v>
      </c>
      <c r="M2" s="1" t="s">
        <v>184</v>
      </c>
      <c r="N2" s="2">
        <f>12+Clebina!D5</f>
        <v>13</v>
      </c>
    </row>
    <row r="3" ht="14.25" spans="2:14">
      <c r="B3" s="3" t="s">
        <v>4</v>
      </c>
      <c r="C3" s="4">
        <v>16</v>
      </c>
      <c r="E3" s="3">
        <v>7</v>
      </c>
      <c r="F3" s="4">
        <v>4</v>
      </c>
      <c r="H3" s="3">
        <v>0</v>
      </c>
      <c r="I3" s="12">
        <v>1</v>
      </c>
      <c r="J3" s="23">
        <v>2</v>
      </c>
      <c r="K3" s="4">
        <f>ROUNDDOWN(I3/2,0)</f>
        <v>0</v>
      </c>
      <c r="M3" s="3" t="s">
        <v>185</v>
      </c>
      <c r="N3" s="4">
        <v>4</v>
      </c>
    </row>
    <row r="4" ht="15.75" spans="2:14">
      <c r="B4" s="5" t="s">
        <v>9</v>
      </c>
      <c r="C4" s="6">
        <v>12</v>
      </c>
      <c r="E4" s="7">
        <v>15</v>
      </c>
      <c r="F4" s="8">
        <v>6</v>
      </c>
      <c r="H4" s="16">
        <v>1000</v>
      </c>
      <c r="I4" s="24">
        <v>2</v>
      </c>
      <c r="J4" s="25">
        <v>3</v>
      </c>
      <c r="K4" s="6">
        <f t="shared" ref="K4:K22" si="0">ROUNDDOWN(I4/2,0)</f>
        <v>1</v>
      </c>
      <c r="M4" s="7" t="s">
        <v>186</v>
      </c>
      <c r="N4" s="8">
        <v>1</v>
      </c>
    </row>
    <row r="5" ht="15" spans="2:11">
      <c r="B5" s="3" t="s">
        <v>10</v>
      </c>
      <c r="C5" s="4">
        <v>14</v>
      </c>
      <c r="H5" s="17">
        <v>3000</v>
      </c>
      <c r="I5" s="12">
        <v>3</v>
      </c>
      <c r="J5" s="23">
        <v>3</v>
      </c>
      <c r="K5" s="4">
        <f t="shared" si="0"/>
        <v>1</v>
      </c>
    </row>
    <row r="6" ht="15" spans="2:11">
      <c r="B6" s="5" t="s">
        <v>12</v>
      </c>
      <c r="C6" s="6">
        <v>18</v>
      </c>
      <c r="H6" s="16">
        <v>6000</v>
      </c>
      <c r="I6" s="24">
        <v>4</v>
      </c>
      <c r="J6" s="25">
        <v>4</v>
      </c>
      <c r="K6" s="6">
        <f t="shared" si="0"/>
        <v>2</v>
      </c>
    </row>
    <row r="7" ht="14.25" spans="2:11">
      <c r="B7" s="3" t="s">
        <v>14</v>
      </c>
      <c r="C7" s="4">
        <v>16</v>
      </c>
      <c r="H7" s="17">
        <v>10000</v>
      </c>
      <c r="I7" s="12">
        <v>5</v>
      </c>
      <c r="J7" s="23">
        <v>4</v>
      </c>
      <c r="K7" s="4">
        <f t="shared" si="0"/>
        <v>2</v>
      </c>
    </row>
    <row r="8" ht="15.75" spans="2:11">
      <c r="B8" s="7" t="s">
        <v>16</v>
      </c>
      <c r="C8" s="8">
        <v>12</v>
      </c>
      <c r="H8" s="16">
        <v>15000</v>
      </c>
      <c r="I8" s="24">
        <v>6</v>
      </c>
      <c r="J8" s="25">
        <v>5</v>
      </c>
      <c r="K8" s="6">
        <f t="shared" si="0"/>
        <v>3</v>
      </c>
    </row>
    <row r="9" ht="15" spans="8:11">
      <c r="H9" s="17">
        <v>21000</v>
      </c>
      <c r="I9" s="12">
        <v>7</v>
      </c>
      <c r="J9" s="23">
        <v>7</v>
      </c>
      <c r="K9" s="4">
        <f t="shared" si="0"/>
        <v>3</v>
      </c>
    </row>
    <row r="10" ht="15" spans="8:11">
      <c r="H10" s="16">
        <v>28000</v>
      </c>
      <c r="I10" s="24">
        <v>8</v>
      </c>
      <c r="J10" s="25">
        <v>8</v>
      </c>
      <c r="K10" s="6">
        <f t="shared" si="0"/>
        <v>4</v>
      </c>
    </row>
    <row r="11" ht="15" spans="8:11">
      <c r="H11" s="17">
        <v>36000</v>
      </c>
      <c r="I11" s="12">
        <v>9</v>
      </c>
      <c r="J11" s="23">
        <v>8</v>
      </c>
      <c r="K11" s="4">
        <f t="shared" si="0"/>
        <v>4</v>
      </c>
    </row>
    <row r="12" ht="15.75" spans="2:11">
      <c r="B12" s="1" t="s">
        <v>187</v>
      </c>
      <c r="C12" s="2">
        <f>3+Clebina!D5</f>
        <v>4</v>
      </c>
      <c r="H12" s="16">
        <v>45000</v>
      </c>
      <c r="I12" s="24">
        <v>10</v>
      </c>
      <c r="J12" s="25">
        <v>9</v>
      </c>
      <c r="K12" s="6">
        <f t="shared" si="0"/>
        <v>5</v>
      </c>
    </row>
    <row r="13" ht="14.25" spans="2:11">
      <c r="B13" s="3" t="s">
        <v>188</v>
      </c>
      <c r="C13" s="4">
        <f>SUM(N3:N4)</f>
        <v>5</v>
      </c>
      <c r="H13" s="17">
        <v>55000</v>
      </c>
      <c r="I13" s="12">
        <v>11</v>
      </c>
      <c r="J13" s="23">
        <v>9</v>
      </c>
      <c r="K13" s="4">
        <f t="shared" si="0"/>
        <v>5</v>
      </c>
    </row>
    <row r="14" ht="15.75" spans="2:11">
      <c r="B14" s="7"/>
      <c r="C14" s="8"/>
      <c r="H14" s="16">
        <v>66000</v>
      </c>
      <c r="I14" s="24">
        <v>12</v>
      </c>
      <c r="J14" s="25">
        <v>10</v>
      </c>
      <c r="K14" s="6">
        <f t="shared" si="0"/>
        <v>6</v>
      </c>
    </row>
    <row r="15" ht="15.75" spans="8:11">
      <c r="H15" s="17">
        <v>78000</v>
      </c>
      <c r="I15" s="12">
        <v>13</v>
      </c>
      <c r="J15" s="23">
        <v>10</v>
      </c>
      <c r="K15" s="4">
        <f t="shared" si="0"/>
        <v>6</v>
      </c>
    </row>
    <row r="16" ht="15.75" spans="2:11">
      <c r="B16" s="9" t="s">
        <v>131</v>
      </c>
      <c r="C16" s="10" t="s">
        <v>189</v>
      </c>
      <c r="D16" s="10" t="s">
        <v>190</v>
      </c>
      <c r="E16" s="18" t="s">
        <v>78</v>
      </c>
      <c r="H16" s="16">
        <v>91000</v>
      </c>
      <c r="I16" s="24">
        <v>14</v>
      </c>
      <c r="J16" s="25">
        <v>11</v>
      </c>
      <c r="K16" s="6">
        <f t="shared" si="0"/>
        <v>7</v>
      </c>
    </row>
    <row r="17" ht="15" spans="2:11">
      <c r="B17" s="5" t="s">
        <v>4</v>
      </c>
      <c r="C17" s="11">
        <v>0</v>
      </c>
      <c r="D17" s="11"/>
      <c r="E17" s="6">
        <f>SUM(C17:D17)</f>
        <v>0</v>
      </c>
      <c r="H17" s="17">
        <v>105000</v>
      </c>
      <c r="I17" s="12">
        <v>15</v>
      </c>
      <c r="J17" s="23">
        <v>13</v>
      </c>
      <c r="K17" s="4">
        <f t="shared" si="0"/>
        <v>7</v>
      </c>
    </row>
    <row r="18" ht="15" spans="2:11">
      <c r="B18" s="3" t="s">
        <v>9</v>
      </c>
      <c r="C18" s="12">
        <v>2</v>
      </c>
      <c r="D18" s="12"/>
      <c r="E18" s="4">
        <f t="shared" ref="E18:E22" si="1">SUM(C18:D18)</f>
        <v>2</v>
      </c>
      <c r="H18" s="16">
        <v>120000</v>
      </c>
      <c r="I18" s="24">
        <v>16</v>
      </c>
      <c r="J18" s="25">
        <v>14</v>
      </c>
      <c r="K18" s="6">
        <f t="shared" si="0"/>
        <v>8</v>
      </c>
    </row>
    <row r="19" ht="15" spans="2:11">
      <c r="B19" s="5" t="s">
        <v>10</v>
      </c>
      <c r="C19" s="11">
        <v>-2</v>
      </c>
      <c r="D19" s="11"/>
      <c r="E19" s="6">
        <f t="shared" si="1"/>
        <v>-2</v>
      </c>
      <c r="H19" s="17">
        <v>136000</v>
      </c>
      <c r="I19" s="12">
        <v>17</v>
      </c>
      <c r="J19" s="23">
        <v>14</v>
      </c>
      <c r="K19" s="4">
        <f t="shared" si="0"/>
        <v>8</v>
      </c>
    </row>
    <row r="20" ht="15" spans="2:11">
      <c r="B20" s="3" t="s">
        <v>12</v>
      </c>
      <c r="C20" s="12">
        <v>4</v>
      </c>
      <c r="D20" s="12"/>
      <c r="E20" s="4">
        <f t="shared" si="1"/>
        <v>4</v>
      </c>
      <c r="H20" s="16">
        <v>153000</v>
      </c>
      <c r="I20" s="24">
        <v>18</v>
      </c>
      <c r="J20" s="25">
        <v>15</v>
      </c>
      <c r="K20" s="6">
        <f t="shared" si="0"/>
        <v>9</v>
      </c>
    </row>
    <row r="21" ht="15" spans="2:11">
      <c r="B21" s="5" t="s">
        <v>14</v>
      </c>
      <c r="C21" s="11">
        <v>0</v>
      </c>
      <c r="D21" s="11">
        <v>2</v>
      </c>
      <c r="E21" s="6">
        <f t="shared" si="1"/>
        <v>2</v>
      </c>
      <c r="H21" s="17">
        <v>171000</v>
      </c>
      <c r="I21" s="12">
        <v>19</v>
      </c>
      <c r="J21" s="23">
        <v>15</v>
      </c>
      <c r="K21" s="4">
        <f t="shared" si="0"/>
        <v>9</v>
      </c>
    </row>
    <row r="22" ht="15.75" spans="2:11">
      <c r="B22" s="13" t="s">
        <v>16</v>
      </c>
      <c r="C22" s="14">
        <v>0</v>
      </c>
      <c r="D22" s="14"/>
      <c r="E22" s="19">
        <f t="shared" si="1"/>
        <v>0</v>
      </c>
      <c r="H22" s="20">
        <v>190000</v>
      </c>
      <c r="I22" s="26">
        <v>20</v>
      </c>
      <c r="J22" s="27">
        <v>16</v>
      </c>
      <c r="K22" s="8">
        <f t="shared" si="0"/>
        <v>10</v>
      </c>
    </row>
    <row r="23" ht="14.2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dopanime</cp:lastModifiedBy>
  <dcterms:created xsi:type="dcterms:W3CDTF">2024-07-25T08:21:00Z</dcterms:created>
  <dcterms:modified xsi:type="dcterms:W3CDTF">2025-10-16T18:59:20Z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