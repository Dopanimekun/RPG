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80" windowHeight="11535"/>
  </bookViews>
  <sheets>
    <sheet name="Cavalado" sheetId="1" r:id="rId1"/>
    <sheet name="Poderes" sheetId="9" r:id="rId2"/>
    <sheet name="Testes" sheetId="5" state="hidden" r:id="rId3"/>
    <sheet name="Livro de Fórmulas" sheetId="6" r:id="rId4"/>
    <sheet name="Inventário" sheetId="2" r:id="rId5"/>
    <sheet name="Perícias" sheetId="3" r:id="rId6"/>
    <sheet name="Perícias (Cópia)" sheetId="8" state="hidden" r:id="rId7"/>
    <sheet name="uns dados aí" sheetId="4" r:id="rId8"/>
  </sheets>
  <calcPr calcId="144525"/>
</workbook>
</file>

<file path=xl/comments1.xml><?xml version="1.0" encoding="utf-8"?>
<comments xmlns="http://schemas.openxmlformats.org/spreadsheetml/2006/main">
  <authors>
    <author>Luciano Segundo</author>
    <author/>
  </authors>
  <commentList>
    <comment ref="D4" authorId="0">
      <text>
        <r>
          <rPr>
            <b/>
            <sz val="9"/>
            <rFont val="Segoe UI"/>
            <charset val="134"/>
          </rPr>
          <t>Luciano Segundo:</t>
        </r>
        <r>
          <rPr>
            <sz val="9"/>
            <rFont val="Segoe UI"/>
            <charset val="134"/>
          </rPr>
          <t xml:space="preserve">
Alquimista Iniciado - Você recebe um livro de
fórmulas e pode fabricar poções com fórmulas que
conheça de 1º e 2º círculos. Veja a página 327 para
as regras de poções. Pré-requisitos: Int 13, Sab 13,
treinado em Ofício (alquimia).</t>
        </r>
      </text>
    </comment>
    <comment ref="L4" authorId="1">
      <text>
        <r>
          <rPr>
            <sz val="10"/>
            <color rgb="FF000000"/>
            <rFont val="Aptos Narrow"/>
            <scheme val="minor"/>
            <charset val="0"/>
          </rPr>
          <t>Seu deslocamento é 12m (em vez de 9m).</t>
        </r>
      </text>
    </comment>
    <comment ref="D5" authorId="0">
      <text>
        <r>
          <rPr>
            <b/>
            <sz val="9"/>
            <rFont val="Segoe UI"/>
            <charset val="134"/>
          </rPr>
          <t>Luciano Segundo:</t>
        </r>
        <r>
          <rPr>
            <sz val="9"/>
            <rFont val="Segoe UI"/>
            <charset val="134"/>
          </rPr>
          <t xml:space="preserve">
Engenhoqueiro - Você pode fabricar engenhocas.
Veja as regras para isso na página 70. Pré-requisitos:
Int 17, treinado em Ofício (engenhoqueiro).</t>
        </r>
      </text>
    </comment>
    <comment ref="L5" authorId="1">
      <text>
        <r>
          <rPr>
            <sz val="10"/>
            <color rgb="FF000000"/>
            <rFont val="Aptos Narrow"/>
            <scheme val="minor"/>
            <charset val="0"/>
          </rPr>
          <t>Você
recebe visão na penumbra e +2 em
Misticismo e Percepção.</t>
        </r>
      </text>
    </comment>
    <comment ref="D6" authorId="0">
      <text>
        <r>
          <rPr>
            <b/>
            <sz val="9"/>
            <rFont val="Segoe UI"/>
            <charset val="134"/>
          </rPr>
          <t>Luciano Segundo:</t>
        </r>
        <r>
          <rPr>
            <sz val="9"/>
            <rFont val="Segoe UI"/>
            <charset val="134"/>
          </rPr>
          <t xml:space="preserve">
Síntese Rápida - Você fabrica itens alquímicos e
poções em uma categoria de tempo menor. Três meses viram um mês, um mês vira uma semana, uma
semana vira um dia e um dia vira uma hora (o tempo
mínimo). Pré-requisito: Alquimista Iniciado.</t>
        </r>
      </text>
    </comment>
    <comment ref="L6" authorId="1">
      <text>
        <r>
          <rPr>
            <sz val="10"/>
            <color rgb="FF000000"/>
            <rFont val="Aptos Narrow"/>
            <scheme val="minor"/>
            <charset val="0"/>
          </rPr>
          <t xml:space="preserve">Você recebe
+1 ponto de mana por nível.
</t>
        </r>
      </text>
    </comment>
    <comment ref="D7" authorId="0">
      <text>
        <r>
          <rPr>
            <sz val="9"/>
            <rFont val="Segoe UI"/>
            <charset val="134"/>
          </rPr>
          <t>Você recebe proficiência com armas
marciais corpo a corpo. Quando usa uma arma corpo a corpo, pode usar seu modificador de Inteligência em
vez de Força nos testes de ataque e rolagens de dano.
Pré-requisitos: treinado em Luta e Ofício (armeiro).</t>
        </r>
      </text>
    </comment>
    <comment ref="L7" authorId="0">
      <text>
        <r>
          <rPr>
            <b/>
            <sz val="9"/>
            <rFont val="Segoe UI"/>
            <charset val="134"/>
          </rPr>
          <t>Luciano Segundo:</t>
        </r>
        <r>
          <rPr>
            <sz val="9"/>
            <rFont val="Segoe UI"/>
            <charset val="134"/>
          </rPr>
          <t xml:space="preserve">
Quando usa um veneno, você não corre risco de
se envenenar acidentalmente. Além disso, a CD para
resistir aos seus venenos aumenta em +2. Pré-requisito:
treinado em Ofício (alquimia).</t>
        </r>
      </text>
    </comment>
    <comment ref="D8" authorId="0">
      <text>
        <r>
          <rPr>
            <sz val="9"/>
            <rFont val="Segoe UI"/>
            <charset val="134"/>
          </rPr>
          <t>**Catalisador Instável** - Você pode gastar uma ação completa e 3 PM para fabricar um item alquímico ou poção cuja fórmula conheça instantaneamente. O custo do item é reduzido à metade e você não precisa fazer o teste de Ofício (alquimia). Contudo, ele só dura até o fim da cena.
*Pré-requisito: Alquimista Iniciado.*</t>
        </r>
      </text>
    </comment>
    <comment ref="L8" authorId="0">
      <text>
        <r>
          <rPr>
            <b/>
            <sz val="9"/>
            <rFont val="Segoe UI"/>
            <charset val="134"/>
          </rPr>
          <t>Luciano Segundo:</t>
        </r>
        <r>
          <rPr>
            <sz val="9"/>
            <rFont val="Segoe UI"/>
            <charset val="134"/>
          </rPr>
          <t xml:space="preserve">
Poder Concedido (Tanna-Toh)
Você está sempre sob efeito de Compreensão (Universal I)
------------------------------------------------------------------------
Essa magia lhe confere compreensão
sobrenatural. Você pode tocar um texto e entender as palavras mesmo que
não conheça o idioma. Se tocar numa
criatura inteligente, pode se comunicar
com ela mesmo que não tenham um
idioma em comum. Se tocar uma criatura não inteligente, como um animal,
pode perceber seus sentimentos.
Você também pode gastar uma ação de
movimento para ouvir os pensamentos
de uma criatura tocada (você “ouve”
o que o alvo está pensando), mas um
alvo involuntário tem direito a um teste de Vontade para proteger seus pensamentos e evitar este efeito.</t>
        </r>
      </text>
    </comment>
    <comment ref="D9" authorId="0">
      <text>
        <r>
          <rPr>
            <sz val="9"/>
            <rFont val="Segoe UI"/>
            <charset val="134"/>
          </rPr>
          <t>**Ferreiro** - Quando usa uma arma corpo a corpo feita por você mesmo, o dano dela aumenta em um passo.
*Pré-requisitos: Armeiro, 5° nível de inventor.*</t>
        </r>
      </text>
    </comment>
    <comment ref="D10" authorId="0">
      <text>
        <r>
          <rPr>
            <b/>
            <sz val="9"/>
            <rFont val="Segoe UI"/>
            <charset val="134"/>
          </rPr>
          <t xml:space="preserve">Luciano Segundo:
</t>
        </r>
        <r>
          <rPr>
            <sz val="9"/>
            <rFont val="Segoe UI"/>
            <charset val="134"/>
          </rPr>
          <t>Alquimista de Batalha. Quando usa um item
alquímico ou poção que cause dano, você soma seu
modificador de Inteligência na rolagem de dano.</t>
        </r>
      </text>
    </comment>
  </commentList>
</comments>
</file>

<file path=xl/comments2.xml><?xml version="1.0" encoding="utf-8"?>
<comments xmlns="http://schemas.openxmlformats.org/spreadsheetml/2006/main">
  <authors>
    <author>Luciano Segundo</author>
  </authors>
  <commentList>
    <comment ref="B3" authorId="0">
      <text>
        <r>
          <rPr>
            <b/>
            <sz val="9"/>
            <rFont val="Segoe UI"/>
            <charset val="134"/>
          </rPr>
          <t>Luciano Segundo:</t>
        </r>
        <r>
          <rPr>
            <sz val="9"/>
            <rFont val="Segoe UI"/>
            <charset val="134"/>
          </rPr>
          <t xml:space="preserve">
Execução: padrão; Alcance: toque;
Alvo: 1 criatura; Duração: instantânea.
Você canaliza energia positiva que recupera 2d8+2 pontos de vida na criatura tocada. Como mortos-vivos usam
energia negativa, esta magia causa dano
de luz a eles (Vontade reduz à metade).
Curar Ferimentos anula Infligir Ferimentos.
Truque: em vez do normal, estabiliza
uma criatura.
Truque: muda o alvo para 1 morto-vivo. Em vez do normal, causa 1d8
pontos de dano de luz (Vontade reduz
à metade).
+1 PM: aumenta a cura em +1d8+1.
+2 PM: também remove uma condição de fadiga do alvo.
+2 PM: muda o alcance para curto.
+5 PM: muda o alcance para curto e o alvo para criaturas escolhidas.</t>
        </r>
      </text>
    </comment>
    <comment ref="B4" authorId="0">
      <text>
        <r>
          <rPr>
            <b/>
            <sz val="9"/>
            <rFont val="Segoe UI"/>
            <charset val="134"/>
          </rPr>
          <t>Luciano Segundo:</t>
        </r>
        <r>
          <rPr>
            <sz val="9"/>
            <rFont val="Segoe UI"/>
            <charset val="134"/>
          </rPr>
          <t xml:space="preserve">
Execução: padrão; Alcance: longo;
Área: esfera com 9m de raio; Duração: 1 dia.
Esta magia enche a área com energia
positiva. Efeitos de luz que curam pontos de vida ou canalizam energia positiva têm seus efeitos maximizados.
Por exemplo, Curar Ferimentos cura automaticamente 18 PV em alvos dentro
da área. Esta magia não pode ser lançada em uma área contendo um símbolo
visível dedicado a uma divindade que
não a sua. Consagrar anula Profanar.
+1 PM: além do normal, mortos-vivos
na área sofrem –2 em testes e Defesa.
+2 PM: aumenta as penalidades para
mortos-vivos em –1.
+9 PM: muda a execução para 1 hora,
a duração para permanente e adiciona
componente material (incenso e óleos
no valor de T$ 1.000). Requer 4º círculo.</t>
        </r>
      </text>
    </comment>
    <comment ref="B5" authorId="0">
      <text>
        <r>
          <rPr>
            <b/>
            <sz val="9"/>
            <rFont val="Segoe UI"/>
            <charset val="134"/>
          </rPr>
          <t>Luciano Segundo:</t>
        </r>
        <r>
          <rPr>
            <sz val="9"/>
            <rFont val="Segoe UI"/>
            <charset val="134"/>
          </rPr>
          <t xml:space="preserve">
Execução: padrão; Alcance: pessoal;
Alvo: você; Duração: cena.
Três cópias ilusórias suas aparecem.
As duplicatas ficam ao seu redor e imitam suas ações, tornando difícil para
um inimigo saber quem atacar. Você recebe +6 na Defesa. Cada vez que um ataque contra você erra, uma das imagens desaparece e o bônus na Defesa diminui em 2. Um oponente deve
ver as cópias para ser confundido. Se você estiver invisível, ou o atacante fechar os olhos, você não recebe o bônus
(mas o atacante ainda sofre penalidades normais por não enxergar).
+2 PM: aumenta o número de cópias
em +1 (e o bônus na Defesa em +2).
+2 PM: além do normal, toda vez que
uma cópia é destruída, emite um clarão de luz. A criatura que destruiu a
cópia fica ofuscada por uma rodada.
Requer 2º círculo.</t>
        </r>
      </text>
    </comment>
    <comment ref="B6" authorId="0">
      <text>
        <r>
          <rPr>
            <b/>
            <sz val="9"/>
            <rFont val="Segoe UI"/>
            <charset val="134"/>
          </rPr>
          <t>Luciano Segundo:</t>
        </r>
        <r>
          <rPr>
            <sz val="9"/>
            <rFont val="Segoe UI"/>
            <charset val="134"/>
          </rPr>
          <t xml:space="preserve">
Execução: padrão; Alcance: curto; Alvo:
1 criatura de ND 2 ou menor; Duração:
cena; Resistência: Vontade parcial.
Um sono místico recai sobre o alvo. Se
passar na resistência, fica fatigado por
uma rodada. Se falhar, fica inconsciente e caído.
+2 PM: muda o alvo para área de quadrado com 3m de lado. Todas as criaturas na área dentro do limite de ND
são afetadas.
+2 PM: afeta alvos de ND 5 ou menor.
Requer 2º círculo.
+5 PM: afeta alvos de ND 10 ou menor.
Requer 3º círculo.
+5 PM: muda o alvo para criaturas escolhidas. Todas as criaturas no alcance
dentro do limite de ND são afetadas.
+9 PM: afeta alvos de ND 15 ou menor.
Requer 4º círculo.
+14 PM: afeta alvos de qualquer ND.
Requer 5º círculo.</t>
        </r>
      </text>
    </comment>
    <comment ref="B7" authorId="0">
      <text>
        <r>
          <rPr>
            <b/>
            <sz val="9"/>
            <rFont val="Segoe UI"/>
            <charset val="134"/>
          </rPr>
          <t>Luciano Segundo:</t>
        </r>
        <r>
          <rPr>
            <sz val="9"/>
            <rFont val="Segoe UI"/>
            <charset val="134"/>
          </rPr>
          <t xml:space="preserve">
Execução: padrão; Alcance: curto;
Área: cubo com 6m de lado; Duração: cena; Resistência: Reflexos anula.
Teia cria várias camadas de fibras entrelaçadas e pegajosas na área. Qualquer
criatura na área que falhar na resistência fica enredada. Uma vítima pode se libertar com uma ação padrão e um
teste de Acrobacia ou Atletismo. A
área ocupada por Teia é terreno difícil.
A Teia é inflamável. Qualquer ataque
que cause dano de fogo destrói as teias
por onde passar, libertando as criaturas
enredadas mas deixando-as em chamas
(veja Condições, no Apêndice).
+1 PM: além do normal, criaturas que
falhem na resistência também ficam
imóveis.
+2 PM: além do normal, no início de
seus turnos a magia afeta novamente qualquer criatura na área, exigindo
um novo teste de Reflexos. Requer 2º
círculo.
+2 PM: aumenta a área em +1 cubo
de 1,5m.</t>
        </r>
      </text>
    </comment>
    <comment ref="B8" authorId="0">
      <text>
        <r>
          <rPr>
            <b/>
            <sz val="9"/>
            <rFont val="Segoe UI"/>
            <charset val="134"/>
          </rPr>
          <t>Luciano Segundo:</t>
        </r>
        <r>
          <rPr>
            <sz val="9"/>
            <rFont val="Segoe UI"/>
            <charset val="134"/>
          </rPr>
          <t xml:space="preserve">
Execução: padrão; Alcance: toque;
Alvo: matéria-prima, como madeira,
rochas, ossos; Duração: cena.
A magia transforma matéria bruta para
moldar um novo objeto. Você pode
usar matéria-prima mundana para
criar um objeto de tamanho Pequeno
ou menor e preço máximo de T$ 25,
como um balde ou uma espada. O objeto reverte à matéria-prima no final da
cena, ou se for tocado por um objeto
feito de chumbo. Esta magia não pode
ser usada para criar objetos consumíveis, como alimentos, itens alquímicos ou venenos, nem objetos com mecanismos complexos, como bestas ou
armas de fogo. Transmutar Objetos anula Despedaçar.
Truque: muda o alvo para 1 objeto
mundano e a duração para instantânea. Em vez do normal, você pode alterar as propriedades físicas do objeto, como colorir, limpar ou sujar itens
pequenos (incluindo peças de roupa), aquecer, esfriar e/ou temperar
(mas não produzir) até 0,5kg de material inanimado (incluindo comida),
ou curar 1 PV do objeto, consertando
pequenas falhas como colar um frasco
de cerâmica quebrado, unir os elos de
uma corrente ou costurar uma roupa
rasgada. Um objeto só pode ser afetado por este truque uma vez por dia.
+2 PM: aumenta o limite de tamanho
do objeto em uma categoria.
+1 PM: aumenta o preço máximo do
objeto criado em + T$ 25.
+1 PM: muda o alcance para toque, o
alvo para 1 construto e a duração para
instantânea. Em vez do normal, cura
2d8 PV do alvo. Você pode gastar 2 PM
adicionais para aumentar a cura em
+1d8.
+5 PM: muda o alvo para 1 objeto
mundano e a duração para instantânea. Em vez do normal, você cura todos os PV do alvo, restaurando o objeto totalmente. Este aprimoramento
está sujeito aos limites de tamanho e
preço do objeto conforme a magia original e não funciona se o objeto tiver
sido completamente destruído (queimado até virar cinzas ou desintegrado,
por exemplo). Requer 3º círculo.
+9 PM: como o aprimoramento anterior, mas passa a afetar itens mágicos.</t>
        </r>
      </text>
    </comment>
    <comment ref="B9" authorId="0">
      <text>
        <r>
          <rPr>
            <b/>
            <sz val="9"/>
            <rFont val="Segoe UI"/>
            <charset val="134"/>
          </rPr>
          <t>Luciano Segundo:</t>
        </r>
        <r>
          <rPr>
            <sz val="9"/>
            <rFont val="Segoe UI"/>
            <charset val="134"/>
          </rPr>
          <t xml:space="preserve">
Execução: padrão; Alcance: toque;
Alvo: 1 criatura; Duração: instantânea; Resistência: Fortitude reduz à
metade.
Arcos elétricos envolvem sua mão,
causando 2d8+2 pontos de dano de
eletricidade. Se o alvo usa armadura de
metal (ou carrega muito metal, a critério do mestre), sofre uma penalidade
de –5 no teste de resistência.
+1 PM: aumenta o dano em 1d8+1.
+2 PM: como parte da execução da
magia, você faz um ataque corpo a corpo contra o alvo. Se acertar, causa o
dano do ataque e da magia.
+2 PM: muda o alcance para pessoal
e o alvo para área: explosão com 6m
de raio. Você dispara raios pelas pontas dos dedos que afetam todas as criaturas na área.</t>
        </r>
      </text>
    </comment>
    <comment ref="B10" authorId="0">
      <text>
        <r>
          <rPr>
            <b/>
            <sz val="9"/>
            <rFont val="Segoe UI"/>
            <charset val="134"/>
          </rPr>
          <t>Luciano Segundo:</t>
        </r>
        <r>
          <rPr>
            <sz val="9"/>
            <rFont val="Segoe UI"/>
            <charset val="134"/>
          </rPr>
          <t xml:space="preserve">
Execução: livre; Alcance: pessoal;
Alvo: você; Duração: 1 rodada.
Você amplia sua percepção, antecipando movimentos dos inimigos e achando brechas em sua defesa. Quando faz
um ataque, você rola dois dados e usa
o melhor resultado.
+2 PM: muda a execução para padrão e
a duração para cena. Requer 2º círculo.
+5 PM: além do normal, ao atacar
você, um inimigo deve rolar dois dados e usar o pior resultado. Requer 3º
círculo.
+9 PM: muda a execução para padrão, o alcance para curto, o alvo para
criaturas escolhidas e a duração para
cena. Requer 4º círculo.
+14 PM: muda a execução para padrão e a duração para 1 dia. Além do
normal, você recebe um sexto sentido que o avisa de qualquer perigo ou
ameaça. Você fica imune às condições
surpreendido e desprevenido e recebe
+10 em Defesa e Reflexos. Requer 5º
círculo.</t>
        </r>
      </text>
    </comment>
    <comment ref="B11" authorId="0">
      <text>
        <r>
          <rPr>
            <b/>
            <sz val="9"/>
            <rFont val="Segoe UI"/>
            <charset val="134"/>
          </rPr>
          <t>Luciano Segundo:</t>
        </r>
        <r>
          <rPr>
            <sz val="9"/>
            <rFont val="Segoe UI"/>
            <charset val="134"/>
          </rPr>
          <t xml:space="preserve">
Execução: padrão; Alcance: médio;
Alvo: 1 criatura; Duração: instantânea; Resistência: Fortitude reduz à
metade.
Esta magia cria um crânio humano envolto em energia negativa, que causa
4d8+4 pontos de dano de trevas quando atinge o alvo e se desfaz emitindo um som horrendo, podendo deixar
abalados todos os inimigos num raio
de 3m. Passar no teste de resistência
diminui o dano pela metade e evita a
condição abalado. Alvos que já estiverem abalados e falharem no teste ficam
apavorados por 1d4 rodadas.
+1 PM: aumenta o dano em +1d8+1.
+2 PM: aumenta o número de alvos
em +1.</t>
        </r>
      </text>
    </comment>
    <comment ref="B12" authorId="0">
      <text>
        <r>
          <rPr>
            <b/>
            <sz val="9"/>
            <rFont val="Segoe UI"/>
            <charset val="134"/>
          </rPr>
          <t>Luciano Segundo:</t>
        </r>
        <r>
          <rPr>
            <sz val="9"/>
            <rFont val="Segoe UI"/>
            <charset val="134"/>
          </rPr>
          <t xml:space="preserve">
Execução: padrão; Alcance: curto;
Alvo: 1 criatura; Duração: cena.
O alvo pode realizar uma ação padrão
ou de movimento adicional por turno.
Esta ação não pode ser usada para lançar magias e ativar engenhocas.
+7 PM: muda o alvo para criaturas escolhidas no alcance. Requer 4º círculo.
+7 PM: muda o alcance para pessoal e o alvo para você. Você acelera sua mente, além de seu corpo. A ação adicional pode ser usada para lançar magias
e ativar engenhocas. Requer 4º círculo.</t>
        </r>
      </text>
    </comment>
  </commentList>
</comments>
</file>

<file path=xl/sharedStrings.xml><?xml version="1.0" encoding="utf-8"?>
<sst xmlns="http://schemas.openxmlformats.org/spreadsheetml/2006/main" count="547" uniqueCount="183">
  <si>
    <t>Atributos</t>
  </si>
  <si>
    <t>MOD</t>
  </si>
  <si>
    <t>Nível</t>
  </si>
  <si>
    <t>Ações</t>
  </si>
  <si>
    <t>FOR</t>
  </si>
  <si>
    <t>HP</t>
  </si>
  <si>
    <t>Turnos</t>
  </si>
  <si>
    <t>PM</t>
  </si>
  <si>
    <t>Descrição</t>
  </si>
  <si>
    <t>DES</t>
  </si>
  <si>
    <t>CON</t>
  </si>
  <si>
    <t>DEF</t>
  </si>
  <si>
    <t>INT</t>
  </si>
  <si>
    <t>Block</t>
  </si>
  <si>
    <t>SAB</t>
  </si>
  <si>
    <t>Contra-ataque</t>
  </si>
  <si>
    <t>CAR</t>
  </si>
  <si>
    <t>Procentagem</t>
  </si>
  <si>
    <t>Grana</t>
  </si>
  <si>
    <t>EXP</t>
  </si>
  <si>
    <t>Equipamento</t>
  </si>
  <si>
    <t>Armadura</t>
  </si>
  <si>
    <t>Arma</t>
  </si>
  <si>
    <t>Item</t>
  </si>
  <si>
    <t>Bônus</t>
  </si>
  <si>
    <t>Penalidade</t>
  </si>
  <si>
    <t>Dano</t>
  </si>
  <si>
    <t>Especial</t>
  </si>
  <si>
    <t>Crítico</t>
  </si>
  <si>
    <t>Armadura de Gelo Eterno</t>
  </si>
  <si>
    <t>Espada Bastarda</t>
  </si>
  <si>
    <t>Status Anteriores</t>
  </si>
  <si>
    <t>Poderes</t>
  </si>
  <si>
    <t>Outros Poderes</t>
  </si>
  <si>
    <t>Nível 1</t>
  </si>
  <si>
    <t>Engenhosidade, protótipo</t>
  </si>
  <si>
    <t>Tipo</t>
  </si>
  <si>
    <t>Poder</t>
  </si>
  <si>
    <t>Nível 2</t>
  </si>
  <si>
    <t>Alquimista iniciado</t>
  </si>
  <si>
    <t>PI</t>
  </si>
  <si>
    <t>Raça</t>
  </si>
  <si>
    <t>Graça de Glorien</t>
  </si>
  <si>
    <t>Nível 3</t>
  </si>
  <si>
    <t>Engenhoqueiro</t>
  </si>
  <si>
    <t>Sentidos Elficos</t>
  </si>
  <si>
    <t>Nível 4</t>
  </si>
  <si>
    <t>Síntese Rápida</t>
  </si>
  <si>
    <t>Herança Férica</t>
  </si>
  <si>
    <t>Nível 5</t>
  </si>
  <si>
    <t>Armeiro</t>
  </si>
  <si>
    <t>Origem</t>
  </si>
  <si>
    <t>Venefício</t>
  </si>
  <si>
    <t>Nível 6</t>
  </si>
  <si>
    <t>Catalisador Instável</t>
  </si>
  <si>
    <t>Divindade</t>
  </si>
  <si>
    <t>Voz da Civilização</t>
  </si>
  <si>
    <t>Nível 7</t>
  </si>
  <si>
    <t>Ferreiro</t>
  </si>
  <si>
    <t>Nível 8</t>
  </si>
  <si>
    <t>Alquimista de Batalha</t>
  </si>
  <si>
    <t>Nível 9</t>
  </si>
  <si>
    <t>Nível 10</t>
  </si>
  <si>
    <t>Nível 11</t>
  </si>
  <si>
    <t>Nível 12</t>
  </si>
  <si>
    <t>Nível 13</t>
  </si>
  <si>
    <t>Nível 14</t>
  </si>
  <si>
    <t>Nível 15</t>
  </si>
  <si>
    <t>Nível 16</t>
  </si>
  <si>
    <t>Nível 17</t>
  </si>
  <si>
    <t>Nível 18</t>
  </si>
  <si>
    <t>Nível 19</t>
  </si>
  <si>
    <t>Nível 20</t>
  </si>
  <si>
    <t>Teste</t>
  </si>
  <si>
    <t>D20</t>
  </si>
  <si>
    <t>Total</t>
  </si>
  <si>
    <t>Luta</t>
  </si>
  <si>
    <t>Magia</t>
  </si>
  <si>
    <t>Círculo</t>
  </si>
  <si>
    <t>Custo</t>
  </si>
  <si>
    <t>Custo Círculo</t>
  </si>
  <si>
    <t>Curar Ferimentos</t>
  </si>
  <si>
    <t>Divina</t>
  </si>
  <si>
    <t>Consagrar</t>
  </si>
  <si>
    <t>Imagem Espelhada</t>
  </si>
  <si>
    <t>Arcana</t>
  </si>
  <si>
    <t>Sono</t>
  </si>
  <si>
    <t>Teia</t>
  </si>
  <si>
    <t>Transmutar Objetos</t>
  </si>
  <si>
    <t>Toque Chocante</t>
  </si>
  <si>
    <t>Concentração</t>
  </si>
  <si>
    <t>Fazedor de poção 8000</t>
  </si>
  <si>
    <t>Crânio voador de Vladislav</t>
  </si>
  <si>
    <t>Qnt.</t>
  </si>
  <si>
    <t>Total T$</t>
  </si>
  <si>
    <t>Velocidade</t>
  </si>
  <si>
    <t>Aracana</t>
  </si>
  <si>
    <t>Armaduras</t>
  </si>
  <si>
    <t>Preço</t>
  </si>
  <si>
    <t>Peso</t>
  </si>
  <si>
    <t>Armas</t>
  </si>
  <si>
    <t>Modificação</t>
  </si>
  <si>
    <t>Ataque Desarmado</t>
  </si>
  <si>
    <t>1d4</t>
  </si>
  <si>
    <t>Impacto</t>
  </si>
  <si>
    <t>x2</t>
  </si>
  <si>
    <t>1d10/1d12</t>
  </si>
  <si>
    <t>Maciça, Material Especial (adamante), Cruel, Certeira</t>
  </si>
  <si>
    <t>Corte</t>
  </si>
  <si>
    <t>x3</t>
  </si>
  <si>
    <t>Itens</t>
  </si>
  <si>
    <t>Quantidade</t>
  </si>
  <si>
    <t>Peso Un.</t>
  </si>
  <si>
    <t>Preço Un.</t>
  </si>
  <si>
    <t>Kit de ofício (alquimia)</t>
  </si>
  <si>
    <t>+10 em teste de alquimia</t>
  </si>
  <si>
    <t>poçao vida</t>
  </si>
  <si>
    <t>2d8+2</t>
  </si>
  <si>
    <t>Imagem espelhada</t>
  </si>
  <si>
    <t>cristal do balacobaco</t>
  </si>
  <si>
    <t>Capacidade</t>
  </si>
  <si>
    <t>Capacidade Máxima</t>
  </si>
  <si>
    <t>Status</t>
  </si>
  <si>
    <t>Perícia</t>
  </si>
  <si>
    <t>ATR</t>
  </si>
  <si>
    <t>1/2 Nível</t>
  </si>
  <si>
    <t>Treino</t>
  </si>
  <si>
    <t>Bônus Habilidade</t>
  </si>
  <si>
    <t>Treinada?</t>
  </si>
  <si>
    <t>Somente Treinada?</t>
  </si>
  <si>
    <t>Penalidade de Armadura?</t>
  </si>
  <si>
    <t>Bônus Treino</t>
  </si>
  <si>
    <t>Acrobacia</t>
  </si>
  <si>
    <t>Des</t>
  </si>
  <si>
    <t>não</t>
  </si>
  <si>
    <t>—</t>
  </si>
  <si>
    <t>sim</t>
  </si>
  <si>
    <t>Adestramento</t>
  </si>
  <si>
    <t>Car</t>
  </si>
  <si>
    <t>Atletismo</t>
  </si>
  <si>
    <t>For</t>
  </si>
  <si>
    <t>Atuação</t>
  </si>
  <si>
    <t>Cavalgar</t>
  </si>
  <si>
    <t>ATR Alterações</t>
  </si>
  <si>
    <t>Conhecimento</t>
  </si>
  <si>
    <t>Int</t>
  </si>
  <si>
    <t>Cura</t>
  </si>
  <si>
    <t>Sab</t>
  </si>
  <si>
    <t>Diplomacia</t>
  </si>
  <si>
    <t>Enganação</t>
  </si>
  <si>
    <t>Fortitude</t>
  </si>
  <si>
    <t>Con</t>
  </si>
  <si>
    <t>Furtividade</t>
  </si>
  <si>
    <t>Guerra</t>
  </si>
  <si>
    <t>Iniciativa</t>
  </si>
  <si>
    <t>Intimidação</t>
  </si>
  <si>
    <t>Intuição</t>
  </si>
  <si>
    <t>Investigação</t>
  </si>
  <si>
    <t>Jogatina</t>
  </si>
  <si>
    <t>Ladinagem</t>
  </si>
  <si>
    <t>Misticismo</t>
  </si>
  <si>
    <t>Nobreza</t>
  </si>
  <si>
    <t>Ofício (Alquimista)</t>
  </si>
  <si>
    <t>Ofício (Armeiro)</t>
  </si>
  <si>
    <t>Ofício (Engenhoqueiro)</t>
  </si>
  <si>
    <t>Percepção</t>
  </si>
  <si>
    <t>Pilotagem</t>
  </si>
  <si>
    <t>Pontaria</t>
  </si>
  <si>
    <t>Reflexos</t>
  </si>
  <si>
    <t>Religião</t>
  </si>
  <si>
    <t>Sobrevivência</t>
  </si>
  <si>
    <t>Vontade</t>
  </si>
  <si>
    <t>ATR Base</t>
  </si>
  <si>
    <t>Pontos de Experiência</t>
  </si>
  <si>
    <t>Nível de Personagem</t>
  </si>
  <si>
    <t>Bônus em Perícias</t>
  </si>
  <si>
    <t>PV classe</t>
  </si>
  <si>
    <t>PM classe</t>
  </si>
  <si>
    <t>PM raça</t>
  </si>
  <si>
    <t>PV P/nv</t>
  </si>
  <si>
    <t>Mana P/nv</t>
  </si>
  <si>
    <t>Bônus Raça</t>
  </si>
  <si>
    <t>Aumento ATR</t>
  </si>
</sst>
</file>

<file path=xl/styles.xml><?xml version="1.0" encoding="utf-8"?>
<styleSheet xmlns="http://schemas.openxmlformats.org/spreadsheetml/2006/main">
  <numFmts count="4">
    <numFmt numFmtId="176" formatCode="_-&quot;R$&quot;\ * #,##0_-;\-&quot;R$&quot;\ * #,##0_-;_-&quot;R$&quot;\ * &quot;-&quot;_-;_-@_-"/>
    <numFmt numFmtId="177" formatCode="_-* #,##0_-;\-* #,##0_-;_-* &quot;-&quot;_-;_-@_-"/>
    <numFmt numFmtId="178" formatCode="_-* #,##0.00_-;\-* #,##0.00_-;_-* &quot;-&quot;??_-;_-@_-"/>
    <numFmt numFmtId="179" formatCode="_-&quot;R$&quot;\ * #,##0.00_-;\-&quot;R$&quot;\ * #,##0.00_-;_-&quot;R$&quot;\ * &quot;-&quot;??_-;_-@_-"/>
  </numFmts>
  <fonts count="31">
    <font>
      <sz val="11"/>
      <color theme="1"/>
      <name val="Aptos Narrow"/>
      <charset val="134"/>
      <scheme val="minor"/>
    </font>
    <font>
      <b/>
      <sz val="10"/>
      <color rgb="FF231F20"/>
      <name val="Palatino Linotype"/>
      <charset val="134"/>
    </font>
    <font>
      <sz val="9"/>
      <color rgb="FF231F20"/>
      <name val="Palatino Linotype"/>
      <charset val="134"/>
    </font>
    <font>
      <b/>
      <sz val="7.5"/>
      <color rgb="FF231F20"/>
      <name val="Palatino Linotype"/>
      <charset val="134"/>
    </font>
    <font>
      <b/>
      <sz val="10"/>
      <color rgb="FF231F20"/>
      <name val="Palatino Linotype"/>
      <charset val="134"/>
    </font>
    <font>
      <b/>
      <sz val="9"/>
      <color rgb="FF231F20"/>
      <name val="Palatino Linotype"/>
      <charset val="134"/>
    </font>
    <font>
      <sz val="11"/>
      <color theme="0"/>
      <name val="Aptos Narrow"/>
      <charset val="134"/>
      <scheme val="minor"/>
    </font>
    <font>
      <sz val="9"/>
      <color rgb="FF231F20"/>
      <name val="Palatino Linotype"/>
      <charset val="134"/>
    </font>
    <font>
      <sz val="11"/>
      <color theme="1"/>
      <name val="Aptos Narrow"/>
      <charset val="134"/>
      <scheme val="minor"/>
    </font>
    <font>
      <sz val="11"/>
      <color theme="1"/>
      <name val="Aptos Narrow"/>
      <charset val="0"/>
      <scheme val="minor"/>
    </font>
    <font>
      <b/>
      <sz val="13"/>
      <color theme="3"/>
      <name val="Aptos Narrow"/>
      <charset val="134"/>
      <scheme val="minor"/>
    </font>
    <font>
      <sz val="11"/>
      <color theme="0"/>
      <name val="Aptos Narrow"/>
      <charset val="0"/>
      <scheme val="minor"/>
    </font>
    <font>
      <b/>
      <sz val="15"/>
      <color theme="3"/>
      <name val="Aptos Narrow"/>
      <charset val="134"/>
      <scheme val="minor"/>
    </font>
    <font>
      <sz val="11"/>
      <color rgb="FF3F3F76"/>
      <name val="Aptos Narrow"/>
      <charset val="0"/>
      <scheme val="minor"/>
    </font>
    <font>
      <b/>
      <sz val="11"/>
      <color rgb="FFFA7D00"/>
      <name val="Aptos Narrow"/>
      <charset val="0"/>
      <scheme val="minor"/>
    </font>
    <font>
      <sz val="11"/>
      <color rgb="FFFF0000"/>
      <name val="Aptos Narrow"/>
      <charset val="0"/>
      <scheme val="minor"/>
    </font>
    <font>
      <b/>
      <sz val="11"/>
      <color theme="1"/>
      <name val="Aptos Narrow"/>
      <charset val="0"/>
      <scheme val="minor"/>
    </font>
    <font>
      <u/>
      <sz val="11"/>
      <color rgb="FF800080"/>
      <name val="Aptos Narrow"/>
      <charset val="0"/>
      <scheme val="minor"/>
    </font>
    <font>
      <b/>
      <sz val="11"/>
      <color rgb="FFFFFFFF"/>
      <name val="Aptos Narrow"/>
      <charset val="0"/>
      <scheme val="minor"/>
    </font>
    <font>
      <sz val="11"/>
      <color rgb="FF9C6500"/>
      <name val="Aptos Narrow"/>
      <charset val="0"/>
      <scheme val="minor"/>
    </font>
    <font>
      <b/>
      <sz val="11"/>
      <color rgb="FF3F3F3F"/>
      <name val="Aptos Narrow"/>
      <charset val="0"/>
      <scheme val="minor"/>
    </font>
    <font>
      <sz val="11"/>
      <color rgb="FF006100"/>
      <name val="Aptos Narrow"/>
      <charset val="0"/>
      <scheme val="minor"/>
    </font>
    <font>
      <sz val="11"/>
      <color rgb="FF9C0006"/>
      <name val="Aptos Narrow"/>
      <charset val="0"/>
      <scheme val="minor"/>
    </font>
    <font>
      <b/>
      <sz val="11"/>
      <color theme="3"/>
      <name val="Aptos Narrow"/>
      <charset val="134"/>
      <scheme val="minor"/>
    </font>
    <font>
      <sz val="11"/>
      <color rgb="FFFA7D00"/>
      <name val="Aptos Narrow"/>
      <charset val="0"/>
      <scheme val="minor"/>
    </font>
    <font>
      <u/>
      <sz val="11"/>
      <color rgb="FF0000FF"/>
      <name val="Aptos Narrow"/>
      <charset val="0"/>
      <scheme val="minor"/>
    </font>
    <font>
      <b/>
      <sz val="18"/>
      <color theme="3"/>
      <name val="Aptos Narrow"/>
      <charset val="134"/>
      <scheme val="minor"/>
    </font>
    <font>
      <i/>
      <sz val="11"/>
      <color rgb="FF7F7F7F"/>
      <name val="Aptos Narrow"/>
      <charset val="0"/>
      <scheme val="minor"/>
    </font>
    <font>
      <sz val="10"/>
      <color rgb="FF000000"/>
      <name val="Aptos Narrow"/>
      <charset val="0"/>
      <scheme val="minor"/>
    </font>
    <font>
      <sz val="9"/>
      <name val="Segoe UI"/>
      <charset val="134"/>
    </font>
    <font>
      <b/>
      <sz val="9"/>
      <name val="Segoe UI"/>
      <charset val="134"/>
    </font>
  </fonts>
  <fills count="35">
    <fill>
      <patternFill patternType="none"/>
    </fill>
    <fill>
      <patternFill patternType="gray125"/>
    </fill>
    <fill>
      <patternFill patternType="solid">
        <fgColor rgb="FFD7CFCB"/>
        <bgColor indexed="64"/>
      </patternFill>
    </fill>
    <fill>
      <patternFill patternType="solid">
        <fgColor theme="0"/>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4"/>
        <bgColor indexed="64"/>
      </patternFill>
    </fill>
    <fill>
      <patternFill patternType="solid">
        <fgColor rgb="FFFFCC99"/>
        <bgColor indexed="64"/>
      </patternFill>
    </fill>
    <fill>
      <patternFill patternType="solid">
        <fgColor rgb="FFF2F2F2"/>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rgb="FFA5A5A5"/>
        <bgColor indexed="64"/>
      </patternFill>
    </fill>
    <fill>
      <patternFill patternType="solid">
        <fgColor rgb="FFFFEB9C"/>
        <bgColor indexed="64"/>
      </patternFill>
    </fill>
    <fill>
      <patternFill patternType="solid">
        <fgColor theme="7" tint="0.799981688894314"/>
        <bgColor indexed="64"/>
      </patternFill>
    </fill>
    <fill>
      <patternFill patternType="solid">
        <fgColor rgb="FFC6EFCE"/>
        <bgColor indexed="64"/>
      </patternFill>
    </fill>
    <fill>
      <patternFill patternType="solid">
        <fgColor rgb="FFFFC7CE"/>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7"/>
        <bgColor indexed="64"/>
      </patternFill>
    </fill>
    <fill>
      <patternFill patternType="solid">
        <fgColor theme="9"/>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8"/>
        <bgColor indexed="64"/>
      </patternFill>
    </fill>
    <fill>
      <patternFill patternType="solid">
        <fgColor rgb="FFFFFFCC"/>
        <bgColor indexed="64"/>
      </patternFill>
    </fill>
    <fill>
      <patternFill patternType="solid">
        <fgColor theme="5"/>
        <bgColor indexed="64"/>
      </patternFill>
    </fill>
  </fills>
  <borders count="49">
    <border>
      <left/>
      <right/>
      <top/>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top style="thick">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thick">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top style="thin">
        <color auto="1"/>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n">
        <color auto="1"/>
      </top>
      <bottom style="thin">
        <color auto="1"/>
      </bottom>
      <diagonal/>
    </border>
    <border>
      <left/>
      <right style="thick">
        <color auto="1"/>
      </right>
      <top style="thin">
        <color auto="1"/>
      </top>
      <bottom style="thick">
        <color auto="1"/>
      </bottom>
      <diagonal/>
    </border>
    <border>
      <left/>
      <right style="thick">
        <color auto="1"/>
      </right>
      <top style="thick">
        <color auto="1"/>
      </top>
      <bottom style="thin">
        <color auto="1"/>
      </bottom>
      <diagonal/>
    </border>
    <border>
      <left style="thin">
        <color auto="1"/>
      </left>
      <right style="thin">
        <color auto="1"/>
      </right>
      <top style="thin">
        <color theme="4"/>
      </top>
      <bottom style="thin">
        <color auto="1"/>
      </bottom>
      <diagonal/>
    </border>
    <border>
      <left/>
      <right/>
      <top style="thin">
        <color auto="1"/>
      </top>
      <bottom style="thin">
        <color auto="1"/>
      </bottom>
      <diagonal/>
    </border>
    <border>
      <left/>
      <right style="thin">
        <color auto="1"/>
      </right>
      <top style="thin">
        <color theme="4"/>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top/>
      <bottom/>
      <diagonal/>
    </border>
    <border>
      <left style="thick">
        <color rgb="FF505050"/>
      </left>
      <right style="thin">
        <color rgb="FF505050"/>
      </right>
      <top style="thick">
        <color rgb="FF505050"/>
      </top>
      <bottom style="thin">
        <color rgb="FF505050"/>
      </bottom>
      <diagonal/>
    </border>
    <border>
      <left style="thin">
        <color rgb="FF505050"/>
      </left>
      <right style="thin">
        <color rgb="FF505050"/>
      </right>
      <top style="thick">
        <color rgb="FF505050"/>
      </top>
      <bottom style="thin">
        <color rgb="FF505050"/>
      </bottom>
      <diagonal/>
    </border>
    <border>
      <left style="thick">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style="thin">
        <color rgb="FF505050"/>
      </bottom>
      <diagonal/>
    </border>
    <border>
      <left style="thick">
        <color rgb="FF505050"/>
      </left>
      <right style="thin">
        <color rgb="FF505050"/>
      </right>
      <top style="thin">
        <color rgb="FF505050"/>
      </top>
      <bottom style="thick">
        <color rgb="FF505050"/>
      </bottom>
      <diagonal/>
    </border>
    <border>
      <left style="thin">
        <color rgb="FF505050"/>
      </left>
      <right style="thin">
        <color rgb="FF505050"/>
      </right>
      <top style="thin">
        <color rgb="FF505050"/>
      </top>
      <bottom style="thick">
        <color rgb="FF505050"/>
      </bottom>
      <diagonal/>
    </border>
    <border>
      <left style="thin">
        <color rgb="FF505050"/>
      </left>
      <right style="thick">
        <color rgb="FF505050"/>
      </right>
      <top style="thick">
        <color rgb="FF505050"/>
      </top>
      <bottom style="thin">
        <color rgb="FF505050"/>
      </bottom>
      <diagonal/>
    </border>
    <border>
      <left style="thin">
        <color rgb="FF505050"/>
      </left>
      <right style="thick">
        <color rgb="FF505050"/>
      </right>
      <top style="thin">
        <color rgb="FF505050"/>
      </top>
      <bottom style="thin">
        <color rgb="FF505050"/>
      </bottom>
      <diagonal/>
    </border>
    <border>
      <left style="thin">
        <color rgb="FF505050"/>
      </left>
      <right style="thick">
        <color rgb="FF505050"/>
      </right>
      <top style="thin">
        <color rgb="FF505050"/>
      </top>
      <bottom style="thick">
        <color rgb="FF505050"/>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11" fillId="25" borderId="0" applyNumberFormat="0" applyBorder="0" applyAlignment="0" applyProtection="0">
      <alignment vertical="center"/>
    </xf>
    <xf numFmtId="0" fontId="9" fillId="29" borderId="0" applyNumberFormat="0" applyBorder="0" applyAlignment="0" applyProtection="0">
      <alignment vertical="center"/>
    </xf>
    <xf numFmtId="0" fontId="9" fillId="4" borderId="0" applyNumberFormat="0" applyBorder="0" applyAlignment="0" applyProtection="0">
      <alignment vertical="center"/>
    </xf>
    <xf numFmtId="0" fontId="9" fillId="31" borderId="0" applyNumberFormat="0" applyBorder="0" applyAlignment="0" applyProtection="0">
      <alignment vertical="center"/>
    </xf>
    <xf numFmtId="0" fontId="11" fillId="32" borderId="0" applyNumberFormat="0" applyBorder="0" applyAlignment="0" applyProtection="0">
      <alignment vertical="center"/>
    </xf>
    <xf numFmtId="0" fontId="11" fillId="23" borderId="0" applyNumberFormat="0" applyBorder="0" applyAlignment="0" applyProtection="0">
      <alignment vertical="center"/>
    </xf>
    <xf numFmtId="0" fontId="23" fillId="0" borderId="0" applyNumberFormat="0" applyFill="0" applyBorder="0" applyAlignment="0" applyProtection="0">
      <alignment vertical="center"/>
    </xf>
    <xf numFmtId="0" fontId="11" fillId="30" borderId="0" applyNumberFormat="0" applyBorder="0" applyAlignment="0" applyProtection="0">
      <alignment vertical="center"/>
    </xf>
    <xf numFmtId="0" fontId="9" fillId="28" borderId="0" applyNumberFormat="0" applyBorder="0" applyAlignment="0" applyProtection="0">
      <alignment vertical="center"/>
    </xf>
    <xf numFmtId="0" fontId="11" fillId="22" borderId="0" applyNumberFormat="0" applyBorder="0" applyAlignment="0" applyProtection="0">
      <alignment vertical="center"/>
    </xf>
    <xf numFmtId="0" fontId="23" fillId="0" borderId="46" applyNumberFormat="0" applyFill="0" applyAlignment="0" applyProtection="0">
      <alignment vertical="center"/>
    </xf>
    <xf numFmtId="0" fontId="11" fillId="21" borderId="0" applyNumberFormat="0" applyBorder="0" applyAlignment="0" applyProtection="0">
      <alignment vertical="center"/>
    </xf>
    <xf numFmtId="0" fontId="18" fillId="12" borderId="44" applyNumberFormat="0" applyAlignment="0" applyProtection="0">
      <alignment vertical="center"/>
    </xf>
    <xf numFmtId="0" fontId="9" fillId="26" borderId="0" applyNumberFormat="0" applyBorder="0" applyAlignment="0" applyProtection="0">
      <alignment vertical="center"/>
    </xf>
    <xf numFmtId="0" fontId="11" fillId="27" borderId="0" applyNumberFormat="0" applyBorder="0" applyAlignment="0" applyProtection="0">
      <alignment vertical="center"/>
    </xf>
    <xf numFmtId="0" fontId="11" fillId="34" borderId="0" applyNumberFormat="0" applyBorder="0" applyAlignment="0" applyProtection="0">
      <alignment vertical="center"/>
    </xf>
    <xf numFmtId="0" fontId="11" fillId="24" borderId="0" applyNumberFormat="0" applyBorder="0" applyAlignment="0" applyProtection="0">
      <alignment vertical="center"/>
    </xf>
    <xf numFmtId="0" fontId="9" fillId="19" borderId="0" applyNumberFormat="0" applyBorder="0" applyAlignment="0" applyProtection="0">
      <alignment vertical="center"/>
    </xf>
    <xf numFmtId="0" fontId="9" fillId="18" borderId="0" applyNumberFormat="0" applyBorder="0" applyAlignment="0" applyProtection="0">
      <alignment vertical="center"/>
    </xf>
    <xf numFmtId="0" fontId="11" fillId="17" borderId="0" applyNumberFormat="0" applyBorder="0" applyAlignment="0" applyProtection="0">
      <alignment vertical="center"/>
    </xf>
    <xf numFmtId="0" fontId="11" fillId="7" borderId="0" applyNumberFormat="0" applyBorder="0" applyAlignment="0" applyProtection="0">
      <alignment vertical="center"/>
    </xf>
    <xf numFmtId="0" fontId="9" fillId="20" borderId="0" applyNumberFormat="0" applyBorder="0" applyAlignment="0" applyProtection="0">
      <alignment vertical="center"/>
    </xf>
    <xf numFmtId="0" fontId="22" fillId="16" borderId="0" applyNumberFormat="0" applyBorder="0" applyAlignment="0" applyProtection="0">
      <alignment vertical="center"/>
    </xf>
    <xf numFmtId="0" fontId="9" fillId="14" borderId="0" applyNumberFormat="0" applyBorder="0" applyAlignment="0" applyProtection="0">
      <alignment vertical="center"/>
    </xf>
    <xf numFmtId="0" fontId="20" fillId="9" borderId="45" applyNumberFormat="0" applyAlignment="0" applyProtection="0">
      <alignment vertical="center"/>
    </xf>
    <xf numFmtId="0" fontId="17" fillId="0" borderId="0" applyNumberFormat="0" applyFill="0" applyBorder="0" applyAlignment="0" applyProtection="0">
      <alignment vertical="center"/>
    </xf>
    <xf numFmtId="176" fontId="0" fillId="0" borderId="0" applyFont="0" applyFill="0" applyBorder="0" applyAlignment="0" applyProtection="0">
      <alignment vertical="center"/>
    </xf>
    <xf numFmtId="0" fontId="16" fillId="0" borderId="43" applyNumberFormat="0" applyFill="0" applyAlignment="0" applyProtection="0">
      <alignment vertical="center"/>
    </xf>
    <xf numFmtId="0" fontId="21" fillId="15" borderId="0" applyNumberFormat="0" applyBorder="0" applyAlignment="0" applyProtection="0">
      <alignment vertical="center"/>
    </xf>
    <xf numFmtId="0" fontId="9" fillId="10" borderId="0" applyNumberFormat="0" applyBorder="0" applyAlignment="0" applyProtection="0">
      <alignment vertical="center"/>
    </xf>
    <xf numFmtId="0" fontId="15" fillId="0" borderId="0" applyNumberFormat="0" applyFill="0" applyBorder="0" applyAlignment="0" applyProtection="0">
      <alignment vertical="center"/>
    </xf>
    <xf numFmtId="0" fontId="14" fillId="9" borderId="42" applyNumberFormat="0" applyAlignment="0" applyProtection="0">
      <alignment vertical="center"/>
    </xf>
    <xf numFmtId="0" fontId="13" fillId="8" borderId="42" applyNumberFormat="0" applyAlignment="0" applyProtection="0">
      <alignment vertical="center"/>
    </xf>
    <xf numFmtId="0" fontId="27" fillId="0" borderId="0" applyNumberFormat="0" applyFill="0" applyBorder="0" applyAlignment="0" applyProtection="0">
      <alignment vertical="center"/>
    </xf>
    <xf numFmtId="0" fontId="12" fillId="0" borderId="41" applyNumberFormat="0" applyFill="0" applyAlignment="0" applyProtection="0">
      <alignment vertical="center"/>
    </xf>
    <xf numFmtId="0" fontId="26" fillId="0" borderId="0" applyNumberFormat="0" applyFill="0" applyBorder="0" applyAlignment="0" applyProtection="0">
      <alignment vertical="center"/>
    </xf>
    <xf numFmtId="0" fontId="0" fillId="33" borderId="48" applyNumberFormat="0" applyFont="0" applyAlignment="0" applyProtection="0">
      <alignment vertical="center"/>
    </xf>
    <xf numFmtId="0" fontId="9" fillId="11" borderId="0" applyNumberFormat="0" applyBorder="0" applyAlignment="0" applyProtection="0">
      <alignment vertical="center"/>
    </xf>
    <xf numFmtId="0" fontId="11" fillId="6" borderId="0" applyNumberFormat="0" applyBorder="0" applyAlignment="0" applyProtection="0">
      <alignment vertical="center"/>
    </xf>
    <xf numFmtId="0" fontId="10" fillId="0" borderId="41" applyNumberFormat="0" applyFill="0" applyAlignment="0" applyProtection="0">
      <alignment vertical="center"/>
    </xf>
    <xf numFmtId="0" fontId="25" fillId="0" borderId="0" applyNumberFormat="0" applyFill="0" applyBorder="0" applyAlignment="0" applyProtection="0">
      <alignment vertical="center"/>
    </xf>
    <xf numFmtId="0" fontId="24" fillId="0" borderId="47" applyNumberFormat="0" applyFill="0" applyAlignment="0" applyProtection="0">
      <alignment vertical="center"/>
    </xf>
    <xf numFmtId="178" fontId="0" fillId="0" borderId="0" applyFont="0" applyFill="0" applyBorder="0" applyAlignment="0" applyProtection="0">
      <alignment vertical="center"/>
    </xf>
    <xf numFmtId="9" fontId="0" fillId="0" borderId="0" applyFont="0" applyFill="0" applyBorder="0" applyAlignment="0" applyProtection="0">
      <alignment vertical="center"/>
    </xf>
    <xf numFmtId="0" fontId="19" fillId="13" borderId="0" applyNumberFormat="0" applyBorder="0" applyAlignment="0" applyProtection="0">
      <alignment vertical="center"/>
    </xf>
    <xf numFmtId="0" fontId="9" fillId="5" borderId="0" applyNumberFormat="0" applyBorder="0" applyAlignment="0" applyProtection="0">
      <alignment vertical="center"/>
    </xf>
    <xf numFmtId="179" fontId="0" fillId="0" borderId="0" applyFont="0" applyFill="0" applyBorder="0" applyAlignment="0" applyProtection="0">
      <alignment vertical="center"/>
    </xf>
    <xf numFmtId="177" fontId="0" fillId="0" borderId="0" applyFont="0" applyFill="0" applyBorder="0" applyAlignment="0" applyProtection="0">
      <alignment vertical="center"/>
    </xf>
  </cellStyleXfs>
  <cellXfs count="107">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0" fontId="1" fillId="2" borderId="8" xfId="0" applyFont="1" applyFill="1" applyBorder="1" applyAlignment="1">
      <alignment horizontal="center" vertical="center"/>
    </xf>
    <xf numFmtId="0" fontId="2" fillId="0" borderId="8"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1" fillId="2" borderId="1" xfId="0" applyFont="1" applyFill="1" applyBorder="1" applyAlignment="1">
      <alignment horizontal="left" vertical="center"/>
    </xf>
    <xf numFmtId="3" fontId="2" fillId="2" borderId="3" xfId="0" applyNumberFormat="1" applyFont="1" applyFill="1" applyBorder="1" applyAlignment="1">
      <alignment horizontal="center" vertical="center"/>
    </xf>
    <xf numFmtId="3" fontId="2" fillId="0" borderId="3" xfId="0" applyNumberFormat="1" applyFont="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3" fontId="2" fillId="2" borderId="5" xfId="0" applyNumberFormat="1" applyFont="1" applyFill="1" applyBorder="1" applyAlignment="1">
      <alignment horizontal="center" vertical="center"/>
    </xf>
    <xf numFmtId="0" fontId="1" fillId="2" borderId="7" xfId="0" applyFont="1" applyFill="1" applyBorder="1" applyAlignment="1">
      <alignment horizontal="left" vertical="center"/>
    </xf>
    <xf numFmtId="0" fontId="1" fillId="2" borderId="10" xfId="0" applyFont="1" applyFill="1" applyBorder="1" applyAlignment="1">
      <alignment horizontal="left" vertical="center"/>
    </xf>
    <xf numFmtId="0" fontId="2" fillId="0" borderId="11" xfId="0" applyFont="1" applyBorder="1" applyAlignment="1">
      <alignment horizontal="center" vertical="center"/>
    </xf>
    <xf numFmtId="0" fontId="2" fillId="2" borderId="8"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2" xfId="0" applyFont="1" applyFill="1" applyBorder="1" applyAlignment="1">
      <alignment horizontal="center" vertical="center"/>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5" xfId="0" applyFont="1" applyFill="1" applyBorder="1" applyAlignment="1">
      <alignment horizontal="center" vertical="center"/>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1" fillId="2" borderId="9" xfId="0" applyFont="1" applyFill="1" applyBorder="1" applyAlignment="1">
      <alignment horizontal="center" vertical="center"/>
    </xf>
    <xf numFmtId="0" fontId="1" fillId="2" borderId="7"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22"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10"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2" fillId="3" borderId="15" xfId="0" applyFont="1" applyFill="1" applyBorder="1" applyAlignment="1">
      <alignment horizontal="center" vertical="center"/>
    </xf>
    <xf numFmtId="0" fontId="1" fillId="2" borderId="18" xfId="0" applyFont="1" applyFill="1" applyBorder="1" applyAlignment="1">
      <alignment horizontal="center" vertical="center" wrapText="1"/>
    </xf>
    <xf numFmtId="0" fontId="6" fillId="0" borderId="0" xfId="0" applyFont="1"/>
    <xf numFmtId="0" fontId="4" fillId="2" borderId="11" xfId="0" applyFont="1" applyFill="1" applyBorder="1" applyAlignment="1">
      <alignment horizontal="center" vertical="center" wrapText="1"/>
    </xf>
    <xf numFmtId="0" fontId="7" fillId="3" borderId="8"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25" xfId="0" applyFont="1" applyFill="1" applyBorder="1" applyAlignment="1">
      <alignment horizontal="center" vertical="center" wrapText="1"/>
    </xf>
    <xf numFmtId="0" fontId="8" fillId="0" borderId="0" xfId="0" applyFont="1" applyAlignment="1"/>
    <xf numFmtId="0" fontId="4" fillId="2" borderId="26"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7" fillId="3" borderId="15"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7"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0" fillId="0" borderId="31" xfId="0" applyBorder="1"/>
    <xf numFmtId="0" fontId="1" fillId="2" borderId="32" xfId="0" applyFont="1" applyFill="1" applyBorder="1" applyAlignment="1">
      <alignment vertical="center"/>
    </xf>
    <xf numFmtId="0" fontId="1" fillId="2" borderId="33" xfId="0" applyFont="1" applyFill="1" applyBorder="1" applyAlignment="1">
      <alignment vertical="center"/>
    </xf>
    <xf numFmtId="0" fontId="2" fillId="3" borderId="34" xfId="0" applyFont="1" applyFill="1" applyBorder="1" applyAlignment="1">
      <alignment vertical="center" wrapText="1"/>
    </xf>
    <xf numFmtId="0" fontId="2" fillId="3" borderId="35" xfId="0" applyFont="1" applyFill="1" applyBorder="1" applyAlignment="1">
      <alignment vertical="center" wrapText="1"/>
    </xf>
    <xf numFmtId="0" fontId="1" fillId="2" borderId="34" xfId="0" applyFont="1" applyFill="1" applyBorder="1" applyAlignment="1">
      <alignment vertical="center"/>
    </xf>
    <xf numFmtId="0" fontId="1" fillId="2" borderId="35" xfId="0" applyFont="1" applyFill="1" applyBorder="1" applyAlignment="1">
      <alignment vertical="center"/>
    </xf>
    <xf numFmtId="0" fontId="2" fillId="3" borderId="35" xfId="0" applyFont="1" applyFill="1" applyBorder="1" applyAlignment="1">
      <alignment vertical="center"/>
    </xf>
    <xf numFmtId="0" fontId="2" fillId="3" borderId="36" xfId="0" applyFont="1" applyFill="1" applyBorder="1" applyAlignment="1">
      <alignment vertical="center" wrapText="1"/>
    </xf>
    <xf numFmtId="0" fontId="2" fillId="3" borderId="37" xfId="0" applyFont="1" applyFill="1" applyBorder="1" applyAlignment="1">
      <alignment vertical="center" wrapText="1"/>
    </xf>
    <xf numFmtId="0" fontId="1" fillId="2" borderId="38" xfId="0" applyFont="1" applyFill="1" applyBorder="1" applyAlignment="1">
      <alignment vertical="center"/>
    </xf>
    <xf numFmtId="0" fontId="2" fillId="3" borderId="39" xfId="0" applyFont="1" applyFill="1" applyBorder="1" applyAlignment="1">
      <alignment vertical="center" wrapText="1"/>
    </xf>
    <xf numFmtId="0" fontId="1" fillId="2" borderId="39" xfId="0" applyFont="1" applyFill="1" applyBorder="1" applyAlignment="1">
      <alignment vertical="center"/>
    </xf>
    <xf numFmtId="0" fontId="2" fillId="3" borderId="40" xfId="0" applyFont="1" applyFill="1" applyBorder="1" applyAlignment="1">
      <alignment vertical="center" wrapText="1"/>
    </xf>
    <xf numFmtId="0" fontId="0" fillId="0" borderId="0" xfId="0" applyAlignment="1">
      <alignment horizontal="center" vertical="center"/>
    </xf>
    <xf numFmtId="0" fontId="2" fillId="3" borderId="22" xfId="0" applyFont="1" applyFill="1" applyBorder="1" applyAlignment="1">
      <alignment horizontal="center" vertical="center" wrapText="1"/>
    </xf>
    <xf numFmtId="0" fontId="1" fillId="2" borderId="22" xfId="0" applyFont="1" applyFill="1" applyBorder="1" applyAlignment="1">
      <alignment horizontal="center" vertical="center" wrapText="1"/>
    </xf>
    <xf numFmtId="10" fontId="1" fillId="2" borderId="8" xfId="0" applyNumberFormat="1" applyFont="1" applyFill="1" applyBorder="1" applyAlignment="1">
      <alignment horizontal="center" vertical="center" wrapText="1"/>
    </xf>
    <xf numFmtId="10" fontId="1" fillId="2" borderId="4" xfId="0" applyNumberFormat="1" applyFont="1" applyFill="1" applyBorder="1" applyAlignment="1">
      <alignment horizontal="center" vertical="center" wrapText="1"/>
    </xf>
    <xf numFmtId="0" fontId="1" fillId="2" borderId="8" xfId="0" applyFont="1" applyFill="1" applyBorder="1" applyAlignment="1" quotePrefix="1">
      <alignment horizontal="center" vertical="center"/>
    </xf>
  </cellXfs>
  <cellStyles count="49">
    <cellStyle name="Normal" xfId="0" builtinId="0"/>
    <cellStyle name="60% - Ênfase 6" xfId="1" builtinId="52"/>
    <cellStyle name="40% - Ênfase 6" xfId="2" builtinId="51"/>
    <cellStyle name="20% - Ênfase 6" xfId="3" builtinId="50"/>
    <cellStyle name="40% - Ênfase 5" xfId="4" builtinId="47"/>
    <cellStyle name="Ênfase 5" xfId="5" builtinId="45"/>
    <cellStyle name="Ênfase 4" xfId="6" builtinId="41"/>
    <cellStyle name="Título 4" xfId="7" builtinId="19"/>
    <cellStyle name="60% - Ênfase 3" xfId="8" builtinId="40"/>
    <cellStyle name="20% - Ênfase 3" xfId="9" builtinId="38"/>
    <cellStyle name="Ênfase 3" xfId="10" builtinId="37"/>
    <cellStyle name="Título 3" xfId="11" builtinId="18"/>
    <cellStyle name="60% - Ênfase 2" xfId="12" builtinId="36"/>
    <cellStyle name="Célula de Verificação" xfId="13" builtinId="23"/>
    <cellStyle name="40% - Ênfase 2" xfId="14" builtinId="35"/>
    <cellStyle name="60% - Ênfase 5" xfId="15" builtinId="48"/>
    <cellStyle name="Ênfase 2" xfId="16" builtinId="33"/>
    <cellStyle name="Ênfase 6" xfId="17" builtinId="49"/>
    <cellStyle name="40% - Ênfase 1" xfId="18" builtinId="31"/>
    <cellStyle name="20% - Ênfase 1" xfId="19" builtinId="30"/>
    <cellStyle name="60% - Ênfase 4" xfId="20" builtinId="44"/>
    <cellStyle name="Ênfase 1" xfId="21" builtinId="29"/>
    <cellStyle name="40% - Ênfase 4" xfId="22" builtinId="43"/>
    <cellStyle name="Ruim" xfId="23" builtinId="27"/>
    <cellStyle name="20% - Ênfase 4" xfId="24" builtinId="42"/>
    <cellStyle name="Saída" xfId="25" builtinId="21"/>
    <cellStyle name="Hyperlink seguido" xfId="26" builtinId="9"/>
    <cellStyle name="Moeda [0]" xfId="27" builtinId="7"/>
    <cellStyle name="Total" xfId="28" builtinId="25"/>
    <cellStyle name="Bom" xfId="29" builtinId="26"/>
    <cellStyle name="40% - Ênfase 3" xfId="30" builtinId="39"/>
    <cellStyle name="Texto de Aviso" xfId="31" builtinId="11"/>
    <cellStyle name="Cálculo" xfId="32" builtinId="22"/>
    <cellStyle name="Entrada" xfId="33" builtinId="20"/>
    <cellStyle name="Texto Explicativo" xfId="34" builtinId="53"/>
    <cellStyle name="Título 1" xfId="35" builtinId="16"/>
    <cellStyle name="Título" xfId="36" builtinId="15"/>
    <cellStyle name="Observação" xfId="37" builtinId="10"/>
    <cellStyle name="20% - Ênfase 2" xfId="38" builtinId="34"/>
    <cellStyle name="60% - Ênfase 1" xfId="39" builtinId="32"/>
    <cellStyle name="Título 2" xfId="40" builtinId="17"/>
    <cellStyle name="Hyperlink" xfId="41" builtinId="8"/>
    <cellStyle name="Célula Vinculada" xfId="42" builtinId="24"/>
    <cellStyle name="Comma" xfId="43" builtinId="3"/>
    <cellStyle name="Porcentagem" xfId="44" builtinId="5"/>
    <cellStyle name="Neutro" xfId="45" builtinId="28"/>
    <cellStyle name="20% - Ênfase 5" xfId="46" builtinId="46"/>
    <cellStyle name="Moeda" xfId="47" builtinId="4"/>
    <cellStyle name="Comma [0]" xfId="48" builtinId="6"/>
  </cellStyles>
  <dxfs count="29">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charset val="134"/>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numFmt numFmtId="0" formatCode="General"/>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style="thin">
          <color auto="1"/>
        </right>
        <top style="thin">
          <color auto="1"/>
        </top>
        <bottom style="thin">
          <color auto="1"/>
        </bottom>
      </border>
    </dxf>
    <dxf>
      <font>
        <name val="Palatino Linotype"/>
        <scheme val="none"/>
        <family val="1"/>
        <b val="0"/>
        <i val="0"/>
        <strike val="0"/>
        <u val="none"/>
        <sz val="9"/>
        <color rgb="FF231F20"/>
      </font>
      <fill>
        <patternFill patternType="solid">
          <bgColor theme="0"/>
        </patternFill>
      </fill>
      <alignment horizontal="center" vertical="center" wrapText="1"/>
      <border>
        <left style="thin">
          <color auto="1"/>
        </left>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customXml" Target="../customXml/item1.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tables/table1.xml><?xml version="1.0" encoding="utf-8"?>
<table xmlns="http://schemas.openxmlformats.org/spreadsheetml/2006/main" id="2" name="Tabela2" displayName="Tabela2" ref="B2:F35" totalsRowShown="0">
  <autoFilter ref="B2:F35"/>
  <tableColumns count="5">
    <tableColumn id="1" name="Magia" dataDxfId="0"/>
    <tableColumn id="4" name="Tipo" dataDxfId="1"/>
    <tableColumn id="5" name="Nível" dataDxfId="2"/>
    <tableColumn id="2" name="Círculo" dataDxfId="3"/>
    <tableColumn id="3" name="Custo" dataDxfId="4"/>
  </tableColumns>
  <tableStyleInfo name="TableStyleLight9" showFirstColumn="0" showLastColumn="0" showRowStripes="1" showColumnStripes="0"/>
</table>
</file>

<file path=xl/tables/table2.xml><?xml version="1.0" encoding="utf-8"?>
<table xmlns="http://schemas.openxmlformats.org/spreadsheetml/2006/main" id="1" name="Tabela1" displayName="Tabela1" ref="B2:M33" totalsRowShown="0">
  <autoFilter ref="B2:M33"/>
  <sortState ref="B2:M33">
    <sortCondition ref="B2:B33"/>
  </sortState>
  <tableColumns count="12">
    <tableColumn id="1" name="Perícia" dataDxfId="5"/>
    <tableColumn id="11" name="ATR" dataDxfId="6"/>
    <tableColumn id="2" name="MOD" dataDxfId="7"/>
    <tableColumn id="3" name="1/2 Nível" dataDxfId="8"/>
    <tableColumn id="4" name="Treino" dataDxfId="9"/>
    <tableColumn id="10" name="Raça" dataDxfId="10"/>
    <tableColumn id="5" name="Bônus" dataDxfId="11"/>
    <tableColumn id="9" name="Bônus Habilidade" dataDxfId="12"/>
    <tableColumn id="6" name="Total" dataDxfId="13"/>
    <tableColumn id="7" name="Treinada?" dataDxfId="14"/>
    <tableColumn id="12" name="Somente Treinada?" dataDxfId="15"/>
    <tableColumn id="8" name="Penalidade de Armadura?" dataDxfId="16"/>
  </tableColumns>
  <tableStyleInfo name="TableStyleLight9" showFirstColumn="0" showLastColumn="0" showRowStripes="1" showColumnStripes="0"/>
</table>
</file>

<file path=xl/tables/table3.xml><?xml version="1.0" encoding="utf-8"?>
<table xmlns="http://schemas.openxmlformats.org/spreadsheetml/2006/main" id="3" name="Tabela14" displayName="Tabela14" ref="B2:M33" totalsRowShown="0">
  <autoFilter ref="B2:M33"/>
  <sortState ref="B2:M33">
    <sortCondition ref="B2:B33"/>
  </sortState>
  <tableColumns count="12">
    <tableColumn id="1" name="Perícia" dataDxfId="17"/>
    <tableColumn id="11" name="ATR" dataDxfId="18"/>
    <tableColumn id="2" name="MOD" dataDxfId="19"/>
    <tableColumn id="3" name="1/2 Nível" dataDxfId="20"/>
    <tableColumn id="4" name="Treino" dataDxfId="21"/>
    <tableColumn id="10" name="Raça" dataDxfId="22"/>
    <tableColumn id="5" name="Bônus" dataDxfId="23"/>
    <tableColumn id="9" name="Bônus Habilidade" dataDxfId="24"/>
    <tableColumn id="6" name="Total" dataDxfId="25"/>
    <tableColumn id="7" name="Treinada?" dataDxfId="26"/>
    <tableColumn id="12" name="Somente Treinada?" dataDxfId="27"/>
    <tableColumn id="8" name="Penalidade de Armadura?" dataDxfId="28"/>
  </tableColumns>
  <tableStyleInfo name="TableStyleLight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41"/>
  <sheetViews>
    <sheetView tabSelected="1" zoomScale="130" zoomScaleNormal="130" workbookViewId="0">
      <selection activeCell="H20" sqref="H20"/>
    </sheetView>
  </sheetViews>
  <sheetFormatPr defaultColWidth="9" defaultRowHeight="13.5"/>
  <cols>
    <col min="2" max="2" width="12.375" customWidth="1"/>
    <col min="3" max="3" width="6.125" customWidth="1"/>
    <col min="4" max="4" width="13.25" customWidth="1"/>
    <col min="6" max="6" width="14.625" customWidth="1"/>
    <col min="7" max="8" width="7.875" customWidth="1"/>
    <col min="9" max="9" width="6" customWidth="1"/>
    <col min="11" max="11" width="16" customWidth="1"/>
    <col min="14" max="14" width="36.375" customWidth="1"/>
  </cols>
  <sheetData>
    <row r="1" ht="14.25"/>
    <row r="2" ht="15.75" customHeight="1" spans="2:14">
      <c r="B2" s="39" t="s">
        <v>0</v>
      </c>
      <c r="C2" s="52"/>
      <c r="D2" s="40" t="s">
        <v>1</v>
      </c>
      <c r="F2" s="39" t="s">
        <v>2</v>
      </c>
      <c r="G2" s="52">
        <f>VLOOKUP(G10,'uns dados aí'!$H$2:$I$22,2,TRUE)</f>
        <v>8</v>
      </c>
      <c r="H2" s="40"/>
      <c r="K2" s="39" t="s">
        <v>3</v>
      </c>
      <c r="L2" s="52"/>
      <c r="M2" s="52"/>
      <c r="N2" s="40"/>
    </row>
    <row r="3" ht="14.25" spans="2:14">
      <c r="B3" s="42" t="s">
        <v>4</v>
      </c>
      <c r="C3" s="31">
        <f>'uns dados aí'!C3+(VLOOKUP(B3,Perícias!$O$7:$P$13,2,FALSE))</f>
        <v>20</v>
      </c>
      <c r="D3" s="43">
        <f t="shared" ref="D3:D8" si="0">ROUNDDOWN((C3-10)/2,0)</f>
        <v>5</v>
      </c>
      <c r="F3" s="42" t="s">
        <v>5</v>
      </c>
      <c r="G3" s="31">
        <f>H3-L25-SUM(L4:L22)</f>
        <v>44</v>
      </c>
      <c r="H3" s="43">
        <f>'uns dados aí'!N2+((G2-1)*'uns dados aí'!C12)</f>
        <v>65</v>
      </c>
      <c r="K3" s="42" t="s">
        <v>6</v>
      </c>
      <c r="L3" s="31" t="s">
        <v>5</v>
      </c>
      <c r="M3" s="31" t="s">
        <v>7</v>
      </c>
      <c r="N3" s="43" t="s">
        <v>8</v>
      </c>
    </row>
    <row r="4" ht="15" spans="2:14">
      <c r="B4" s="45" t="s">
        <v>9</v>
      </c>
      <c r="C4" s="33">
        <f>'uns dados aí'!C4+(VLOOKUP(B4,Perícias!$O$7:$P$13,2,FALSE))</f>
        <v>14</v>
      </c>
      <c r="D4" s="46">
        <f t="shared" si="0"/>
        <v>2</v>
      </c>
      <c r="F4" s="45" t="s">
        <v>7</v>
      </c>
      <c r="G4" s="33">
        <f>H4-L26-SUM(M4:M22)</f>
        <v>29</v>
      </c>
      <c r="H4" s="46">
        <f>'uns dados aí'!C13*G2</f>
        <v>40</v>
      </c>
      <c r="K4" s="45">
        <v>1</v>
      </c>
      <c r="L4" s="33"/>
      <c r="M4" s="33">
        <v>3</v>
      </c>
      <c r="N4" s="46"/>
    </row>
    <row r="5" ht="14.25" spans="2:14">
      <c r="B5" s="42" t="s">
        <v>10</v>
      </c>
      <c r="C5" s="31">
        <f>'uns dados aí'!C5+(VLOOKUP(B5,Perícias!$O$7:$P$13,2,FALSE))</f>
        <v>18</v>
      </c>
      <c r="D5" s="43">
        <f t="shared" si="0"/>
        <v>4</v>
      </c>
      <c r="F5" s="42" t="s">
        <v>11</v>
      </c>
      <c r="G5" s="41">
        <f>10+D4+C16</f>
        <v>22</v>
      </c>
      <c r="H5" s="103"/>
      <c r="K5" s="42">
        <v>2</v>
      </c>
      <c r="L5" s="31"/>
      <c r="M5" s="31">
        <v>3</v>
      </c>
      <c r="N5" s="43"/>
    </row>
    <row r="6" ht="15" spans="2:14">
      <c r="B6" s="45" t="s">
        <v>12</v>
      </c>
      <c r="C6" s="33">
        <f>'uns dados aí'!C6+(VLOOKUP(B6,Perícias!$O$7:$P$13,2,FALSE))</f>
        <v>10</v>
      </c>
      <c r="D6" s="46">
        <f t="shared" si="0"/>
        <v>0</v>
      </c>
      <c r="F6" s="45" t="s">
        <v>13</v>
      </c>
      <c r="G6" s="44">
        <f>G5+Perícias!J12</f>
        <v>38</v>
      </c>
      <c r="H6" s="104"/>
      <c r="K6" s="45">
        <v>3</v>
      </c>
      <c r="L6" s="33"/>
      <c r="M6" s="33">
        <v>5</v>
      </c>
      <c r="N6" s="46"/>
    </row>
    <row r="7" ht="14.25" spans="2:14">
      <c r="B7" s="42" t="s">
        <v>14</v>
      </c>
      <c r="C7" s="31">
        <f>'uns dados aí'!C7+(VLOOKUP(B7,Perícias!$O$7:$P$13,2,FALSE))</f>
        <v>10</v>
      </c>
      <c r="D7" s="43">
        <f t="shared" si="0"/>
        <v>0</v>
      </c>
      <c r="F7" s="42" t="s">
        <v>15</v>
      </c>
      <c r="G7" s="41">
        <f>Perícias!J27+Perícias!J21</f>
        <v>31</v>
      </c>
      <c r="H7" s="103"/>
      <c r="K7" s="42">
        <v>4</v>
      </c>
      <c r="L7" s="31">
        <v>13</v>
      </c>
      <c r="M7" s="31"/>
      <c r="N7" s="43"/>
    </row>
    <row r="8" ht="15.75" spans="2:14">
      <c r="B8" s="49" t="s">
        <v>16</v>
      </c>
      <c r="C8" s="57">
        <f>'uns dados aí'!C8+(VLOOKUP(B8,Perícias!$O$7:$P$13,2,FALSE))</f>
        <v>10</v>
      </c>
      <c r="D8" s="50">
        <f t="shared" si="0"/>
        <v>0</v>
      </c>
      <c r="F8" s="45" t="s">
        <v>17</v>
      </c>
      <c r="G8" s="105">
        <v>0.5</v>
      </c>
      <c r="H8" s="106"/>
      <c r="K8" s="45">
        <v>5</v>
      </c>
      <c r="L8" s="33">
        <v>-13</v>
      </c>
      <c r="M8" s="33"/>
      <c r="N8" s="46"/>
    </row>
    <row r="9" ht="15" spans="6:14">
      <c r="F9" s="42" t="s">
        <v>18</v>
      </c>
      <c r="G9" s="31">
        <v>706</v>
      </c>
      <c r="H9" s="43"/>
      <c r="K9" s="42">
        <v>6</v>
      </c>
      <c r="L9" s="31">
        <v>12</v>
      </c>
      <c r="M9" s="31"/>
      <c r="N9" s="43"/>
    </row>
    <row r="10" ht="15.75" spans="6:14">
      <c r="F10" s="49" t="s">
        <v>19</v>
      </c>
      <c r="G10" s="57">
        <v>28850</v>
      </c>
      <c r="H10" s="50"/>
      <c r="K10" s="45">
        <v>7</v>
      </c>
      <c r="L10" s="33">
        <v>23</v>
      </c>
      <c r="M10" s="33"/>
      <c r="N10" s="46"/>
    </row>
    <row r="11" ht="15.75" spans="11:14">
      <c r="K11" s="42">
        <v>8</v>
      </c>
      <c r="L11" s="31">
        <v>-3</v>
      </c>
      <c r="M11" s="31"/>
      <c r="N11" s="43"/>
    </row>
    <row r="12" ht="16.5" spans="2:14">
      <c r="B12" s="85" t="s">
        <v>20</v>
      </c>
      <c r="C12" s="86"/>
      <c r="D12" s="86"/>
      <c r="E12" s="86"/>
      <c r="F12" s="86"/>
      <c r="G12" s="86"/>
      <c r="H12" s="86"/>
      <c r="I12" s="87"/>
      <c r="K12" s="45">
        <v>9</v>
      </c>
      <c r="L12" s="33"/>
      <c r="M12" s="33"/>
      <c r="N12" s="46"/>
    </row>
    <row r="13" ht="15.75" spans="2:14">
      <c r="B13" s="102"/>
      <c r="K13" s="42">
        <v>10</v>
      </c>
      <c r="L13" s="31">
        <v>-11</v>
      </c>
      <c r="M13" s="31"/>
      <c r="N13" s="43"/>
    </row>
    <row r="14" ht="15.75" spans="2:14">
      <c r="B14" s="39" t="s">
        <v>21</v>
      </c>
      <c r="C14" s="52"/>
      <c r="D14" s="40"/>
      <c r="F14" s="39" t="s">
        <v>22</v>
      </c>
      <c r="G14" s="52"/>
      <c r="H14" s="52"/>
      <c r="I14" s="40"/>
      <c r="K14" s="45">
        <v>11</v>
      </c>
      <c r="L14" s="33"/>
      <c r="M14" s="33"/>
      <c r="N14" s="46"/>
    </row>
    <row r="15" ht="14.25" spans="2:14">
      <c r="B15" s="42" t="s">
        <v>23</v>
      </c>
      <c r="C15" s="31" t="s">
        <v>24</v>
      </c>
      <c r="D15" s="43" t="s">
        <v>25</v>
      </c>
      <c r="F15" s="42" t="s">
        <v>23</v>
      </c>
      <c r="G15" s="31" t="s">
        <v>26</v>
      </c>
      <c r="H15" s="31" t="s">
        <v>27</v>
      </c>
      <c r="I15" s="43" t="s">
        <v>28</v>
      </c>
      <c r="K15" s="42">
        <v>12</v>
      </c>
      <c r="L15" s="31"/>
      <c r="M15" s="31"/>
      <c r="N15" s="43"/>
    </row>
    <row r="16" ht="30.75" spans="2:14">
      <c r="B16" s="49" t="s">
        <v>29</v>
      </c>
      <c r="C16" s="57">
        <f>IFERROR(VLOOKUP($B$16,Inventário!$B$3:$F$5,2,FALSE),"")</f>
        <v>10</v>
      </c>
      <c r="D16" s="50">
        <f>IFERROR(VLOOKUP($B$16,Inventário!$B$3:$F$5,3,FALSE),"")</f>
        <v>10</v>
      </c>
      <c r="F16" s="49" t="s">
        <v>30</v>
      </c>
      <c r="G16" s="57" t="str">
        <f>IFERROR(VLOOKUP($F$16,Inventário!$B$8:$H$13,2,FALSE),"")</f>
        <v>1d10/1d12</v>
      </c>
      <c r="H16" s="57">
        <f>IFERROR(VLOOKUP($F$16,Inventário!$B$8:$H$13,4,FALSE),"")</f>
        <v>0</v>
      </c>
      <c r="I16" s="50" t="str">
        <f>IFERROR(VLOOKUP($F$16,Inventário!$B$8:$H$13,7,FALSE),"")</f>
        <v>x3</v>
      </c>
      <c r="K16" s="45">
        <v>13</v>
      </c>
      <c r="L16" s="33"/>
      <c r="M16" s="33"/>
      <c r="N16" s="46"/>
    </row>
    <row r="17" ht="15" spans="11:14">
      <c r="K17" s="42">
        <v>14</v>
      </c>
      <c r="L17" s="31"/>
      <c r="M17" s="31"/>
      <c r="N17" s="43"/>
    </row>
    <row r="18" ht="15.75" customHeight="1" spans="11:14">
      <c r="K18" s="45">
        <v>15</v>
      </c>
      <c r="L18" s="33"/>
      <c r="M18" s="33"/>
      <c r="N18" s="46"/>
    </row>
    <row r="19" ht="14.25" spans="11:14">
      <c r="K19" s="42">
        <v>16</v>
      </c>
      <c r="L19" s="31"/>
      <c r="M19" s="31"/>
      <c r="N19" s="43"/>
    </row>
    <row r="20" ht="15" spans="11:14">
      <c r="K20" s="45">
        <v>17</v>
      </c>
      <c r="L20" s="33"/>
      <c r="M20" s="33"/>
      <c r="N20" s="46"/>
    </row>
    <row r="21" ht="14.25" spans="11:14">
      <c r="K21" s="42">
        <v>18</v>
      </c>
      <c r="L21" s="31"/>
      <c r="M21" s="31"/>
      <c r="N21" s="43"/>
    </row>
    <row r="22" ht="15.75" customHeight="1" spans="11:14">
      <c r="K22" s="49">
        <v>20</v>
      </c>
      <c r="L22" s="57"/>
      <c r="M22" s="57"/>
      <c r="N22" s="50"/>
    </row>
    <row r="23" ht="15"/>
    <row r="24" ht="15.75" spans="11:12">
      <c r="K24" s="39" t="s">
        <v>31</v>
      </c>
      <c r="L24" s="40"/>
    </row>
    <row r="25" ht="14.25" spans="11:12">
      <c r="K25" s="42" t="s">
        <v>5</v>
      </c>
      <c r="L25" s="43"/>
    </row>
    <row r="26" ht="15.75" spans="11:12">
      <c r="K26" s="49" t="s">
        <v>7</v>
      </c>
      <c r="L26" s="50"/>
    </row>
    <row r="27" ht="14.25"/>
    <row r="41" ht="15.75" customHeight="1"/>
  </sheetData>
  <mergeCells count="13">
    <mergeCell ref="B2:C2"/>
    <mergeCell ref="G2:H2"/>
    <mergeCell ref="K2:N2"/>
    <mergeCell ref="G5:H5"/>
    <mergeCell ref="G6:H6"/>
    <mergeCell ref="G7:H7"/>
    <mergeCell ref="G8:H8"/>
    <mergeCell ref="G9:H9"/>
    <mergeCell ref="G10:H10"/>
    <mergeCell ref="B12:I12"/>
    <mergeCell ref="B14:D14"/>
    <mergeCell ref="F14:I14"/>
    <mergeCell ref="K24:L24"/>
  </mergeCells>
  <dataValidations count="2">
    <dataValidation type="list" allowBlank="1" showInputMessage="1" showErrorMessage="1" sqref="F16">
      <formula1>Inventário!$B$9:$B$13</formula1>
    </dataValidation>
    <dataValidation type="list" allowBlank="1" showInputMessage="1" showErrorMessage="1" sqref="B16">
      <formula1>Inventário!$B$4:$B$5</formula1>
    </dataValidation>
  </dataValidations>
  <pageMargins left="0.511811024" right="0.511811024" top="0.787401575" bottom="0.787401575" header="0.31496062" footer="0.31496062"/>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3"/>
  <sheetViews>
    <sheetView zoomScale="130" zoomScaleNormal="130" workbookViewId="0">
      <selection activeCell="G18" sqref="G18"/>
    </sheetView>
  </sheetViews>
  <sheetFormatPr defaultColWidth="9" defaultRowHeight="13.5"/>
  <cols>
    <col min="12" max="12" width="19.75" customWidth="1"/>
    <col min="13" max="13" width="12.25" customWidth="1"/>
    <col min="14" max="14" width="12.125" customWidth="1"/>
  </cols>
  <sheetData>
    <row r="1" ht="16.5" spans="1:15">
      <c r="A1" s="85" t="s">
        <v>32</v>
      </c>
      <c r="B1" s="86"/>
      <c r="C1" s="86"/>
      <c r="D1" s="86"/>
      <c r="E1" s="86"/>
      <c r="F1" s="86"/>
      <c r="G1" s="87"/>
      <c r="I1" s="85" t="s">
        <v>33</v>
      </c>
      <c r="J1" s="86"/>
      <c r="K1" s="86"/>
      <c r="L1" s="86"/>
      <c r="M1" s="86"/>
      <c r="N1" s="86"/>
      <c r="O1" s="87"/>
    </row>
    <row r="2" ht="15"/>
    <row r="3" ht="15.75" spans="2:13">
      <c r="B3" s="39" t="s">
        <v>34</v>
      </c>
      <c r="C3" s="52"/>
      <c r="D3" s="52" t="s">
        <v>35</v>
      </c>
      <c r="E3" s="52"/>
      <c r="F3" s="40"/>
      <c r="K3" s="89" t="s">
        <v>36</v>
      </c>
      <c r="L3" s="90" t="s">
        <v>37</v>
      </c>
      <c r="M3" s="98" t="s">
        <v>24</v>
      </c>
    </row>
    <row r="4" ht="15" customHeight="1" spans="2:13">
      <c r="B4" s="42" t="s">
        <v>38</v>
      </c>
      <c r="C4" s="31"/>
      <c r="D4" s="31" t="s">
        <v>39</v>
      </c>
      <c r="E4" s="31"/>
      <c r="F4" s="43" t="s">
        <v>40</v>
      </c>
      <c r="K4" s="91" t="s">
        <v>41</v>
      </c>
      <c r="L4" s="92" t="s">
        <v>42</v>
      </c>
      <c r="M4" s="99"/>
    </row>
    <row r="5" ht="15" customHeight="1" spans="2:13">
      <c r="B5" s="45" t="s">
        <v>43</v>
      </c>
      <c r="C5" s="44"/>
      <c r="D5" s="33" t="s">
        <v>44</v>
      </c>
      <c r="E5" s="33"/>
      <c r="F5" s="46" t="s">
        <v>40</v>
      </c>
      <c r="K5" s="93" t="s">
        <v>41</v>
      </c>
      <c r="L5" s="94" t="s">
        <v>45</v>
      </c>
      <c r="M5" s="100"/>
    </row>
    <row r="6" ht="15" customHeight="1" spans="2:13">
      <c r="B6" s="42" t="s">
        <v>46</v>
      </c>
      <c r="C6" s="41"/>
      <c r="D6" s="31" t="s">
        <v>47</v>
      </c>
      <c r="E6" s="31"/>
      <c r="F6" s="43" t="s">
        <v>40</v>
      </c>
      <c r="K6" s="91" t="s">
        <v>41</v>
      </c>
      <c r="L6" s="92" t="s">
        <v>48</v>
      </c>
      <c r="M6" s="99"/>
    </row>
    <row r="7" ht="15" spans="2:13">
      <c r="B7" s="45" t="s">
        <v>49</v>
      </c>
      <c r="C7" s="33"/>
      <c r="D7" s="33" t="s">
        <v>50</v>
      </c>
      <c r="E7" s="33"/>
      <c r="F7" s="46" t="s">
        <v>40</v>
      </c>
      <c r="K7" s="93" t="s">
        <v>51</v>
      </c>
      <c r="L7" s="94" t="s">
        <v>52</v>
      </c>
      <c r="M7" s="100"/>
    </row>
    <row r="8" ht="14.25" spans="2:13">
      <c r="B8" s="42" t="s">
        <v>53</v>
      </c>
      <c r="C8" s="31"/>
      <c r="D8" s="31" t="s">
        <v>54</v>
      </c>
      <c r="E8" s="31"/>
      <c r="F8" s="43" t="s">
        <v>40</v>
      </c>
      <c r="K8" s="91" t="s">
        <v>55</v>
      </c>
      <c r="L8" s="95" t="s">
        <v>56</v>
      </c>
      <c r="M8" s="99"/>
    </row>
    <row r="9" ht="15" spans="2:13">
      <c r="B9" s="45" t="s">
        <v>57</v>
      </c>
      <c r="C9" s="33"/>
      <c r="D9" s="33" t="s">
        <v>58</v>
      </c>
      <c r="E9" s="33"/>
      <c r="F9" s="46" t="s">
        <v>40</v>
      </c>
      <c r="K9" s="93"/>
      <c r="L9" s="94"/>
      <c r="M9" s="100"/>
    </row>
    <row r="10" ht="15" customHeight="1" spans="2:13">
      <c r="B10" s="42" t="s">
        <v>59</v>
      </c>
      <c r="C10" s="31"/>
      <c r="D10" s="31" t="s">
        <v>60</v>
      </c>
      <c r="E10" s="31"/>
      <c r="F10" s="43" t="s">
        <v>40</v>
      </c>
      <c r="K10" s="91"/>
      <c r="L10" s="92"/>
      <c r="M10" s="99"/>
    </row>
    <row r="11" ht="15" spans="2:13">
      <c r="B11" s="45" t="s">
        <v>61</v>
      </c>
      <c r="C11" s="33"/>
      <c r="D11" s="33"/>
      <c r="E11" s="33"/>
      <c r="F11" s="46"/>
      <c r="K11" s="93"/>
      <c r="L11" s="94"/>
      <c r="M11" s="100"/>
    </row>
    <row r="12" ht="14.25" spans="2:13">
      <c r="B12" s="42" t="s">
        <v>62</v>
      </c>
      <c r="C12" s="31"/>
      <c r="D12" s="31"/>
      <c r="E12" s="31"/>
      <c r="F12" s="43"/>
      <c r="K12" s="91"/>
      <c r="L12" s="92"/>
      <c r="M12" s="99"/>
    </row>
    <row r="13" ht="15" spans="2:13">
      <c r="B13" s="45" t="s">
        <v>63</v>
      </c>
      <c r="C13" s="33"/>
      <c r="D13" s="33"/>
      <c r="E13" s="33"/>
      <c r="F13" s="46"/>
      <c r="G13" s="88"/>
      <c r="K13" s="93"/>
      <c r="L13" s="94"/>
      <c r="M13" s="100"/>
    </row>
    <row r="14" ht="14.25" spans="2:13">
      <c r="B14" s="42" t="s">
        <v>64</v>
      </c>
      <c r="C14" s="31"/>
      <c r="D14" s="31"/>
      <c r="E14" s="31"/>
      <c r="F14" s="43"/>
      <c r="K14" s="91"/>
      <c r="L14" s="92"/>
      <c r="M14" s="99"/>
    </row>
    <row r="15" ht="15" spans="2:13">
      <c r="B15" s="45" t="s">
        <v>65</v>
      </c>
      <c r="C15" s="33"/>
      <c r="D15" s="33"/>
      <c r="E15" s="33"/>
      <c r="F15" s="46"/>
      <c r="K15" s="93"/>
      <c r="L15" s="94"/>
      <c r="M15" s="100"/>
    </row>
    <row r="16" ht="14.25" spans="2:13">
      <c r="B16" s="42" t="s">
        <v>66</v>
      </c>
      <c r="C16" s="31"/>
      <c r="D16" s="31"/>
      <c r="E16" s="31"/>
      <c r="F16" s="43"/>
      <c r="K16" s="91"/>
      <c r="L16" s="92"/>
      <c r="M16" s="99"/>
    </row>
    <row r="17" ht="15" spans="2:13">
      <c r="B17" s="45" t="s">
        <v>67</v>
      </c>
      <c r="C17" s="33"/>
      <c r="D17" s="33"/>
      <c r="E17" s="33"/>
      <c r="F17" s="46"/>
      <c r="K17" s="93"/>
      <c r="L17" s="94"/>
      <c r="M17" s="100"/>
    </row>
    <row r="18" ht="14.25" spans="2:13">
      <c r="B18" s="42" t="s">
        <v>68</v>
      </c>
      <c r="C18" s="31"/>
      <c r="D18" s="31"/>
      <c r="E18" s="31"/>
      <c r="F18" s="43"/>
      <c r="K18" s="91"/>
      <c r="L18" s="92"/>
      <c r="M18" s="99"/>
    </row>
    <row r="19" ht="15" spans="2:13">
      <c r="B19" s="45" t="s">
        <v>69</v>
      </c>
      <c r="C19" s="33"/>
      <c r="D19" s="33"/>
      <c r="E19" s="33"/>
      <c r="F19" s="46"/>
      <c r="K19" s="93"/>
      <c r="L19" s="94"/>
      <c r="M19" s="100"/>
    </row>
    <row r="20" ht="14.25" spans="2:13">
      <c r="B20" s="42" t="s">
        <v>70</v>
      </c>
      <c r="C20" s="31"/>
      <c r="D20" s="31"/>
      <c r="E20" s="31"/>
      <c r="F20" s="43"/>
      <c r="K20" s="91"/>
      <c r="L20" s="92"/>
      <c r="M20" s="99"/>
    </row>
    <row r="21" ht="15" spans="2:13">
      <c r="B21" s="45" t="s">
        <v>71</v>
      </c>
      <c r="C21" s="33"/>
      <c r="D21" s="33"/>
      <c r="E21" s="33"/>
      <c r="F21" s="46"/>
      <c r="K21" s="93"/>
      <c r="L21" s="94"/>
      <c r="M21" s="100"/>
    </row>
    <row r="22" ht="15" spans="2:13">
      <c r="B22" s="47" t="s">
        <v>72</v>
      </c>
      <c r="C22" s="53"/>
      <c r="D22" s="53"/>
      <c r="E22" s="53"/>
      <c r="F22" s="48"/>
      <c r="K22" s="96"/>
      <c r="L22" s="97"/>
      <c r="M22" s="101"/>
    </row>
    <row r="23" ht="14.25"/>
  </sheetData>
  <mergeCells count="42">
    <mergeCell ref="A1:G1"/>
    <mergeCell ref="I1:O1"/>
    <mergeCell ref="B3:C3"/>
    <mergeCell ref="D3:E3"/>
    <mergeCell ref="B4:C4"/>
    <mergeCell ref="D4:E4"/>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s>
  <pageMargins left="0.511811024" right="0.511811024" top="0.787401575" bottom="0.787401575" header="0.31496062" footer="0.31496062"/>
  <pageSetup paperSize="9" orientation="portrait" horizontalDpi="360" verticalDpi="36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32"/>
  <sheetViews>
    <sheetView workbookViewId="0">
      <selection activeCell="H13" sqref="H13"/>
    </sheetView>
  </sheetViews>
  <sheetFormatPr defaultColWidth="9" defaultRowHeight="13.5" outlineLevelCol="7"/>
  <cols>
    <col min="2" max="2" width="13.875" customWidth="1"/>
    <col min="7" max="7" width="8.375" customWidth="1"/>
  </cols>
  <sheetData>
    <row r="1" ht="14.25"/>
    <row r="2" ht="15.75" spans="2:8">
      <c r="B2" s="39" t="s">
        <v>0</v>
      </c>
      <c r="C2" s="52" t="s">
        <v>73</v>
      </c>
      <c r="D2" s="52" t="s">
        <v>74</v>
      </c>
      <c r="E2" s="40" t="s">
        <v>75</v>
      </c>
      <c r="G2" s="54" t="s">
        <v>73</v>
      </c>
      <c r="H2" s="69"/>
    </row>
    <row r="3" ht="15" spans="2:8">
      <c r="B3" s="42" t="str">
        <f>Tabela1[[#This Row],[Perícia]]</f>
        <v>Acrobacia</v>
      </c>
      <c r="C3" s="31">
        <f>Tabela1[[#This Row],[Total]]</f>
        <v>-4</v>
      </c>
      <c r="D3" s="31">
        <f ca="1">RANDBETWEEN(1,20)</f>
        <v>14</v>
      </c>
      <c r="E3" s="43">
        <f ca="1">SUM(C3:D3)</f>
        <v>10</v>
      </c>
      <c r="G3" s="47" t="s">
        <v>76</v>
      </c>
      <c r="H3" s="48">
        <f ca="1">VLOOKUP(G3,B2:E31,4,FALSE)</f>
        <v>27</v>
      </c>
    </row>
    <row r="4" ht="15.75" spans="2:5">
      <c r="B4" s="45" t="str">
        <f>Tabela1[[#This Row],[Perícia]]</f>
        <v>Adestramento</v>
      </c>
      <c r="C4" s="33">
        <f>Tabela1[[#This Row],[Total]]</f>
        <v>4</v>
      </c>
      <c r="D4" s="33">
        <f ca="1" t="shared" ref="D4:D31" si="0">RANDBETWEEN(1,20)</f>
        <v>5</v>
      </c>
      <c r="E4" s="46">
        <f ca="1" t="shared" ref="E4:E31" si="1">SUM(C4:D4)</f>
        <v>9</v>
      </c>
    </row>
    <row r="5" ht="14.25" spans="2:5">
      <c r="B5" s="42" t="str">
        <f>Tabela1[[#This Row],[Perícia]]</f>
        <v>Atletismo</v>
      </c>
      <c r="C5" s="31">
        <f>Tabela1[[#This Row],[Total]]</f>
        <v>9</v>
      </c>
      <c r="D5" s="31">
        <f ca="1" t="shared" si="0"/>
        <v>1</v>
      </c>
      <c r="E5" s="43">
        <f ca="1" t="shared" si="1"/>
        <v>10</v>
      </c>
    </row>
    <row r="6" ht="15" spans="2:5">
      <c r="B6" s="45" t="str">
        <f>Tabela1[[#This Row],[Perícia]]</f>
        <v>Atuação</v>
      </c>
      <c r="C6" s="33">
        <f>Tabela1[[#This Row],[Total]]</f>
        <v>4</v>
      </c>
      <c r="D6" s="33">
        <f ca="1" t="shared" si="0"/>
        <v>17</v>
      </c>
      <c r="E6" s="46">
        <f ca="1" t="shared" si="1"/>
        <v>21</v>
      </c>
    </row>
    <row r="7" ht="14.25" spans="2:5">
      <c r="B7" s="42" t="str">
        <f>Tabela1[[#This Row],[Perícia]]</f>
        <v>Cavalgar</v>
      </c>
      <c r="C7" s="31">
        <f>Tabela1[[#This Row],[Total]]</f>
        <v>6</v>
      </c>
      <c r="D7" s="31">
        <f ca="1" t="shared" si="0"/>
        <v>13</v>
      </c>
      <c r="E7" s="43">
        <f ca="1" t="shared" si="1"/>
        <v>19</v>
      </c>
    </row>
    <row r="8" ht="15" spans="2:5">
      <c r="B8" s="45" t="str">
        <f>Tabela1[[#This Row],[Perícia]]</f>
        <v>Conhecimento</v>
      </c>
      <c r="C8" s="33">
        <f>Tabela1[[#This Row],[Total]]</f>
        <v>12</v>
      </c>
      <c r="D8" s="33">
        <f ca="1" t="shared" si="0"/>
        <v>15</v>
      </c>
      <c r="E8" s="46">
        <f ca="1" t="shared" si="1"/>
        <v>27</v>
      </c>
    </row>
    <row r="9" ht="14.25" spans="2:5">
      <c r="B9" s="42" t="str">
        <f>Tabela1[[#This Row],[Perícia]]</f>
        <v>Cura</v>
      </c>
      <c r="C9" s="31">
        <f>Tabela1[[#This Row],[Total]]</f>
        <v>12</v>
      </c>
      <c r="D9" s="31">
        <f ca="1" t="shared" si="0"/>
        <v>19</v>
      </c>
      <c r="E9" s="43">
        <f ca="1" t="shared" si="1"/>
        <v>31</v>
      </c>
    </row>
    <row r="10" ht="15" spans="2:5">
      <c r="B10" s="45" t="str">
        <f>Tabela1[[#This Row],[Perícia]]</f>
        <v>Diplomacia</v>
      </c>
      <c r="C10" s="33">
        <f>Tabela1[[#This Row],[Total]]</f>
        <v>4</v>
      </c>
      <c r="D10" s="33">
        <f ca="1" t="shared" si="0"/>
        <v>5</v>
      </c>
      <c r="E10" s="46">
        <f ca="1" t="shared" si="1"/>
        <v>9</v>
      </c>
    </row>
    <row r="11" ht="14.25" spans="2:5">
      <c r="B11" s="42" t="str">
        <f>Tabela1[[#This Row],[Perícia]]</f>
        <v>Enganação</v>
      </c>
      <c r="C11" s="31">
        <f>Tabela1[[#This Row],[Total]]</f>
        <v>4</v>
      </c>
      <c r="D11" s="31">
        <f ca="1" t="shared" si="0"/>
        <v>12</v>
      </c>
      <c r="E11" s="43">
        <f ca="1" t="shared" si="1"/>
        <v>16</v>
      </c>
    </row>
    <row r="12" ht="15" spans="2:5">
      <c r="B12" s="45" t="str">
        <f>Tabela1[[#This Row],[Perícia]]</f>
        <v>Fortitude</v>
      </c>
      <c r="C12" s="33">
        <f>Tabela1[[#This Row],[Total]]</f>
        <v>16</v>
      </c>
      <c r="D12" s="33">
        <f ca="1" t="shared" si="0"/>
        <v>7</v>
      </c>
      <c r="E12" s="46">
        <f ca="1" t="shared" si="1"/>
        <v>23</v>
      </c>
    </row>
    <row r="13" ht="14.25" spans="2:5">
      <c r="B13" s="42" t="str">
        <f>Tabela1[[#This Row],[Perícia]]</f>
        <v>Furtividade</v>
      </c>
      <c r="C13" s="31">
        <f>Tabela1[[#This Row],[Total]]</f>
        <v>-4</v>
      </c>
      <c r="D13" s="31">
        <f ca="1" t="shared" si="0"/>
        <v>13</v>
      </c>
      <c r="E13" s="43">
        <f ca="1" t="shared" si="1"/>
        <v>9</v>
      </c>
    </row>
    <row r="14" ht="15" spans="2:5">
      <c r="B14" s="45" t="str">
        <f>Tabela1[[#This Row],[Perícia]]</f>
        <v>Guerra</v>
      </c>
      <c r="C14" s="33">
        <f>Tabela1[[#This Row],[Total]]</f>
        <v>12</v>
      </c>
      <c r="D14" s="33">
        <f ca="1" t="shared" si="0"/>
        <v>4</v>
      </c>
      <c r="E14" s="46">
        <f ca="1" t="shared" si="1"/>
        <v>16</v>
      </c>
    </row>
    <row r="15" ht="14.25" spans="2:5">
      <c r="B15" s="42" t="str">
        <f>Tabela1[[#This Row],[Perícia]]</f>
        <v>Iniciativa</v>
      </c>
      <c r="C15" s="31">
        <f>Tabela1[[#This Row],[Total]]</f>
        <v>6</v>
      </c>
      <c r="D15" s="31">
        <f ca="1" t="shared" si="0"/>
        <v>1</v>
      </c>
      <c r="E15" s="43">
        <f ca="1" t="shared" si="1"/>
        <v>7</v>
      </c>
    </row>
    <row r="16" ht="15" spans="2:5">
      <c r="B16" s="45" t="str">
        <f>Tabela1[[#This Row],[Perícia]]</f>
        <v>Intimidação</v>
      </c>
      <c r="C16" s="33">
        <f>Tabela1[[#This Row],[Total]]</f>
        <v>4</v>
      </c>
      <c r="D16" s="33">
        <f ca="1" t="shared" si="0"/>
        <v>16</v>
      </c>
      <c r="E16" s="46">
        <f ca="1" t="shared" si="1"/>
        <v>20</v>
      </c>
    </row>
    <row r="17" ht="14.25" spans="2:5">
      <c r="B17" s="42" t="str">
        <f>Tabela1[[#This Row],[Perícia]]</f>
        <v>Intuição</v>
      </c>
      <c r="C17" s="31">
        <f>Tabela1[[#This Row],[Total]]</f>
        <v>4</v>
      </c>
      <c r="D17" s="31">
        <f ca="1" t="shared" si="0"/>
        <v>4</v>
      </c>
      <c r="E17" s="43">
        <f ca="1" t="shared" si="1"/>
        <v>8</v>
      </c>
    </row>
    <row r="18" ht="15" spans="2:5">
      <c r="B18" s="45" t="str">
        <f>Tabela1[[#This Row],[Perícia]]</f>
        <v>Investigação</v>
      </c>
      <c r="C18" s="33">
        <f>Tabela1[[#This Row],[Total]]</f>
        <v>12</v>
      </c>
      <c r="D18" s="33">
        <f ca="1" t="shared" si="0"/>
        <v>3</v>
      </c>
      <c r="E18" s="46">
        <f ca="1" t="shared" si="1"/>
        <v>15</v>
      </c>
    </row>
    <row r="19" ht="14.25" spans="2:5">
      <c r="B19" s="42" t="str">
        <f>Tabela1[[#This Row],[Perícia]]</f>
        <v>Jogatina</v>
      </c>
      <c r="C19" s="31">
        <f>Tabela1[[#This Row],[Total]]</f>
        <v>4</v>
      </c>
      <c r="D19" s="31">
        <f ca="1" t="shared" si="0"/>
        <v>16</v>
      </c>
      <c r="E19" s="43">
        <f ca="1" t="shared" si="1"/>
        <v>20</v>
      </c>
    </row>
    <row r="20" ht="15" spans="2:5">
      <c r="B20" s="45" t="str">
        <f>Tabela1[[#This Row],[Perícia]]</f>
        <v>Ladinagem</v>
      </c>
      <c r="C20" s="33">
        <f>Tabela1[[#This Row],[Total]]</f>
        <v>-4</v>
      </c>
      <c r="D20" s="33">
        <f ca="1" t="shared" si="0"/>
        <v>17</v>
      </c>
      <c r="E20" s="46">
        <f ca="1" t="shared" si="1"/>
        <v>13</v>
      </c>
    </row>
    <row r="21" ht="14.25" spans="2:5">
      <c r="B21" s="42" t="str">
        <f>Tabela1[[#This Row],[Perícia]]</f>
        <v>Luta</v>
      </c>
      <c r="C21" s="31">
        <f>Tabela1[[#This Row],[Total]]</f>
        <v>17</v>
      </c>
      <c r="D21" s="31">
        <f ca="1" t="shared" si="0"/>
        <v>10</v>
      </c>
      <c r="E21" s="43">
        <f ca="1" t="shared" si="1"/>
        <v>27</v>
      </c>
    </row>
    <row r="22" ht="15" spans="2:5">
      <c r="B22" s="45" t="str">
        <f>Tabela1[[#This Row],[Perícia]]</f>
        <v>Misticismo</v>
      </c>
      <c r="C22" s="33">
        <f>Tabela1[[#This Row],[Total]]</f>
        <v>14</v>
      </c>
      <c r="D22" s="33">
        <f ca="1" t="shared" si="0"/>
        <v>8</v>
      </c>
      <c r="E22" s="46">
        <f ca="1" t="shared" si="1"/>
        <v>22</v>
      </c>
    </row>
    <row r="23" ht="14.25" spans="2:5">
      <c r="B23" s="42" t="str">
        <f>Tabela1[[#This Row],[Perícia]]</f>
        <v>Nobreza</v>
      </c>
      <c r="C23" s="31">
        <f>Tabela1[[#This Row],[Total]]</f>
        <v>4</v>
      </c>
      <c r="D23" s="31">
        <f ca="1" t="shared" si="0"/>
        <v>18</v>
      </c>
      <c r="E23" s="43">
        <f ca="1" t="shared" si="1"/>
        <v>22</v>
      </c>
    </row>
    <row r="24" ht="30" spans="2:5">
      <c r="B24" s="45" t="str">
        <f>Tabela1[[#This Row],[Perícia]]</f>
        <v>Ofício (Alquimista)</v>
      </c>
      <c r="C24" s="33">
        <f>Tabela1[[#This Row],[Total]]</f>
        <v>12</v>
      </c>
      <c r="D24" s="33">
        <f ca="1" t="shared" si="0"/>
        <v>5</v>
      </c>
      <c r="E24" s="46">
        <f ca="1" t="shared" si="1"/>
        <v>17</v>
      </c>
    </row>
    <row r="25" ht="14.25" spans="2:5">
      <c r="B25" s="42" t="str">
        <f>Tabela1[[#This Row],[Perícia]]</f>
        <v>Ofício (Armeiro)</v>
      </c>
      <c r="C25" s="31">
        <f>Tabela1[[#This Row],[Total]]</f>
        <v>12</v>
      </c>
      <c r="D25" s="31">
        <f ca="1" t="shared" si="0"/>
        <v>12</v>
      </c>
      <c r="E25" s="43">
        <f ca="1" t="shared" si="1"/>
        <v>24</v>
      </c>
    </row>
    <row r="26" ht="30" spans="2:5">
      <c r="B26" s="45" t="str">
        <f>Tabela1[[#This Row],[Perícia]]</f>
        <v>Ofício (Engenhoqueiro)</v>
      </c>
      <c r="C26" s="33">
        <f>Tabela1[[#This Row],[Total]]</f>
        <v>12</v>
      </c>
      <c r="D26" s="33">
        <f ca="1" t="shared" si="0"/>
        <v>19</v>
      </c>
      <c r="E26" s="46">
        <f ca="1" t="shared" si="1"/>
        <v>31</v>
      </c>
    </row>
    <row r="27" ht="14.25" spans="2:5">
      <c r="B27" s="42" t="str">
        <f>Tabela1[[#This Row],[Perícia]]</f>
        <v>Percepção</v>
      </c>
      <c r="C27" s="31">
        <f>Tabela1[[#This Row],[Total]]</f>
        <v>14</v>
      </c>
      <c r="D27" s="31">
        <f ca="1" t="shared" si="0"/>
        <v>8</v>
      </c>
      <c r="E27" s="43">
        <f ca="1" t="shared" si="1"/>
        <v>22</v>
      </c>
    </row>
    <row r="28" ht="15" spans="2:5">
      <c r="B28" s="45" t="str">
        <f>Tabela1[[#This Row],[Perícia]]</f>
        <v>Pilotagem</v>
      </c>
      <c r="C28" s="33">
        <f>Tabela1[[#This Row],[Total]]</f>
        <v>6</v>
      </c>
      <c r="D28" s="33">
        <f ca="1" t="shared" si="0"/>
        <v>14</v>
      </c>
      <c r="E28" s="46">
        <f ca="1" t="shared" si="1"/>
        <v>20</v>
      </c>
    </row>
    <row r="29" ht="14.25" spans="2:5">
      <c r="B29" s="42" t="str">
        <f>Tabela1[[#This Row],[Perícia]]</f>
        <v>Pontaria</v>
      </c>
      <c r="C29" s="31">
        <f>Tabela1[[#This Row],[Total]]</f>
        <v>6</v>
      </c>
      <c r="D29" s="31">
        <f ca="1" t="shared" si="0"/>
        <v>18</v>
      </c>
      <c r="E29" s="43">
        <f ca="1" t="shared" si="1"/>
        <v>24</v>
      </c>
    </row>
    <row r="30" ht="15" spans="2:5">
      <c r="B30" s="45" t="str">
        <f>Tabela1[[#This Row],[Perícia]]</f>
        <v>Reflexos</v>
      </c>
      <c r="C30" s="33">
        <f>Tabela1[[#This Row],[Total]]</f>
        <v>14</v>
      </c>
      <c r="D30" s="33">
        <f ca="1" t="shared" si="0"/>
        <v>5</v>
      </c>
      <c r="E30" s="46">
        <f ca="1" t="shared" si="1"/>
        <v>19</v>
      </c>
    </row>
    <row r="31" ht="15" spans="2:5">
      <c r="B31" s="47" t="str">
        <f>Tabela1[[#This Row],[Perícia]]</f>
        <v>Religião</v>
      </c>
      <c r="C31" s="53">
        <f>Tabela1[[#This Row],[Total]]</f>
        <v>4</v>
      </c>
      <c r="D31" s="53">
        <f ca="1" t="shared" si="0"/>
        <v>8</v>
      </c>
      <c r="E31" s="48">
        <f ca="1" t="shared" si="1"/>
        <v>12</v>
      </c>
    </row>
    <row r="32" ht="14.25"/>
  </sheetData>
  <mergeCells count="1">
    <mergeCell ref="G2:H2"/>
  </mergeCells>
  <dataValidations count="1">
    <dataValidation type="list" allowBlank="1" showInputMessage="1" showErrorMessage="1" sqref="G3">
      <formula1>$B$2:$B$31</formula1>
    </dataValidation>
  </dataValidations>
  <pageMargins left="0.511811024" right="0.511811024" top="0.787401575" bottom="0.787401575" header="0.31496062" footer="0.31496062"/>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35"/>
  <sheetViews>
    <sheetView zoomScale="115" zoomScaleNormal="115" workbookViewId="0">
      <selection activeCell="N17" sqref="N17"/>
    </sheetView>
  </sheetViews>
  <sheetFormatPr defaultColWidth="9" defaultRowHeight="13.5"/>
  <cols>
    <col min="2" max="2" width="23.25" customWidth="1"/>
    <col min="3" max="4" width="15.375" customWidth="1"/>
    <col min="5" max="5" width="11.875" customWidth="1"/>
    <col min="6" max="6" width="10.625" customWidth="1"/>
    <col min="8" max="8" width="22.25" customWidth="1"/>
  </cols>
  <sheetData>
    <row r="1" ht="14.25"/>
    <row r="2" ht="15.75" spans="2:9">
      <c r="B2" s="28" t="s">
        <v>77</v>
      </c>
      <c r="C2" s="28" t="s">
        <v>36</v>
      </c>
      <c r="D2" s="28" t="s">
        <v>2</v>
      </c>
      <c r="E2" s="29" t="s">
        <v>78</v>
      </c>
      <c r="F2" s="73" t="s">
        <v>79</v>
      </c>
      <c r="H2" s="39" t="s">
        <v>80</v>
      </c>
      <c r="I2" s="40"/>
    </row>
    <row r="3" ht="14.25" spans="2:9">
      <c r="B3" s="72" t="s">
        <v>81</v>
      </c>
      <c r="C3" s="72" t="s">
        <v>82</v>
      </c>
      <c r="D3" s="72">
        <v>1</v>
      </c>
      <c r="E3" s="31">
        <v>1</v>
      </c>
      <c r="F3" s="41">
        <f t="shared" ref="F3:F35" si="0">IFERROR(VLOOKUP(E3,$H$3:$I$7,2,FALSE)^2*10,"")</f>
        <v>10</v>
      </c>
      <c r="H3" s="42">
        <v>1</v>
      </c>
      <c r="I3" s="43">
        <v>1</v>
      </c>
    </row>
    <row r="4" ht="15" spans="2:9">
      <c r="B4" s="28" t="s">
        <v>83</v>
      </c>
      <c r="C4" s="28" t="s">
        <v>82</v>
      </c>
      <c r="D4" s="28">
        <v>1</v>
      </c>
      <c r="E4" s="29">
        <v>1</v>
      </c>
      <c r="F4" s="73">
        <f t="shared" si="0"/>
        <v>10</v>
      </c>
      <c r="H4" s="45">
        <v>2</v>
      </c>
      <c r="I4" s="46">
        <v>3</v>
      </c>
    </row>
    <row r="5" ht="14.25" spans="2:9">
      <c r="B5" s="72" t="s">
        <v>84</v>
      </c>
      <c r="C5" s="72" t="s">
        <v>85</v>
      </c>
      <c r="D5" s="72">
        <v>1</v>
      </c>
      <c r="E5" s="31">
        <v>1</v>
      </c>
      <c r="F5" s="41">
        <f t="shared" si="0"/>
        <v>10</v>
      </c>
      <c r="H5" s="42">
        <v>3</v>
      </c>
      <c r="I5" s="43">
        <v>6</v>
      </c>
    </row>
    <row r="6" ht="15" spans="2:9">
      <c r="B6" s="28" t="s">
        <v>86</v>
      </c>
      <c r="C6" s="28" t="s">
        <v>85</v>
      </c>
      <c r="D6" s="28">
        <v>2</v>
      </c>
      <c r="E6" s="29">
        <v>1</v>
      </c>
      <c r="F6" s="73">
        <f t="shared" si="0"/>
        <v>10</v>
      </c>
      <c r="H6" s="45">
        <v>4</v>
      </c>
      <c r="I6" s="46">
        <v>10</v>
      </c>
    </row>
    <row r="7" ht="15" spans="2:9">
      <c r="B7" s="72" t="s">
        <v>87</v>
      </c>
      <c r="C7" s="72" t="s">
        <v>85</v>
      </c>
      <c r="D7" s="72">
        <v>3</v>
      </c>
      <c r="E7" s="31">
        <v>1</v>
      </c>
      <c r="F7" s="41">
        <f t="shared" si="0"/>
        <v>10</v>
      </c>
      <c r="H7" s="47">
        <v>5</v>
      </c>
      <c r="I7" s="48">
        <v>15</v>
      </c>
    </row>
    <row r="8" ht="15.75" spans="2:6">
      <c r="B8" s="28" t="s">
        <v>88</v>
      </c>
      <c r="C8" s="28" t="s">
        <v>85</v>
      </c>
      <c r="D8" s="28">
        <v>4</v>
      </c>
      <c r="E8" s="29">
        <v>1</v>
      </c>
      <c r="F8" s="73">
        <f t="shared" si="0"/>
        <v>10</v>
      </c>
    </row>
    <row r="9" ht="15" customHeight="1" spans="2:7">
      <c r="B9" s="72" t="s">
        <v>89</v>
      </c>
      <c r="C9" s="72" t="s">
        <v>85</v>
      </c>
      <c r="D9" s="72">
        <v>5</v>
      </c>
      <c r="E9" s="31">
        <v>1</v>
      </c>
      <c r="F9" s="41">
        <f t="shared" si="0"/>
        <v>10</v>
      </c>
      <c r="G9" s="74"/>
    </row>
    <row r="10" ht="15" spans="2:11">
      <c r="B10" s="28" t="s">
        <v>90</v>
      </c>
      <c r="C10" s="28" t="s">
        <v>85</v>
      </c>
      <c r="D10" s="28">
        <v>6</v>
      </c>
      <c r="E10" s="29">
        <v>1</v>
      </c>
      <c r="F10" s="73">
        <f t="shared" si="0"/>
        <v>10</v>
      </c>
      <c r="H10" s="75" t="s">
        <v>91</v>
      </c>
      <c r="I10" s="80"/>
      <c r="J10" s="80"/>
      <c r="K10" s="81"/>
    </row>
    <row r="11" ht="14.25" customHeight="1" spans="2:11">
      <c r="B11" s="72" t="s">
        <v>92</v>
      </c>
      <c r="C11" s="72" t="s">
        <v>85</v>
      </c>
      <c r="D11" s="72">
        <v>7</v>
      </c>
      <c r="E11" s="31">
        <v>2</v>
      </c>
      <c r="F11" s="41">
        <f t="shared" si="0"/>
        <v>90</v>
      </c>
      <c r="H11" s="76" t="s">
        <v>77</v>
      </c>
      <c r="I11" s="82" t="s">
        <v>79</v>
      </c>
      <c r="J11" s="82" t="s">
        <v>93</v>
      </c>
      <c r="K11" s="82" t="s">
        <v>94</v>
      </c>
    </row>
    <row r="12" ht="15" spans="2:11">
      <c r="B12" s="28" t="s">
        <v>95</v>
      </c>
      <c r="C12" s="28" t="s">
        <v>96</v>
      </c>
      <c r="D12" s="28">
        <v>8</v>
      </c>
      <c r="E12" s="29">
        <v>2</v>
      </c>
      <c r="F12" s="73">
        <f t="shared" si="0"/>
        <v>90</v>
      </c>
      <c r="H12" s="77"/>
      <c r="I12" s="83" t="str">
        <f>IFERROR(VLOOKUP(H12,Tabela2[#All],5,FALSE),"")</f>
        <v/>
      </c>
      <c r="J12" s="83"/>
      <c r="K12" s="83" t="str">
        <f>IFERROR((J12*I12),"")</f>
        <v/>
      </c>
    </row>
    <row r="13" ht="14.25" customHeight="1" spans="2:11">
      <c r="B13" s="72"/>
      <c r="C13" s="72"/>
      <c r="D13" s="72"/>
      <c r="E13" s="31"/>
      <c r="F13" s="41" t="str">
        <f t="shared" si="0"/>
        <v/>
      </c>
      <c r="H13" s="76"/>
      <c r="I13" s="82" t="str">
        <f>IFERROR(VLOOKUP(H13,Tabela2[#All],5,FALSE),"")</f>
        <v/>
      </c>
      <c r="J13" s="82"/>
      <c r="K13" s="82" t="str">
        <f t="shared" ref="K13:K21" si="1">IFERROR((J13*I13),"")</f>
        <v/>
      </c>
    </row>
    <row r="14" ht="15" spans="2:11">
      <c r="B14" s="28"/>
      <c r="C14" s="28"/>
      <c r="D14" s="28"/>
      <c r="E14" s="29"/>
      <c r="F14" s="73" t="str">
        <f t="shared" si="0"/>
        <v/>
      </c>
      <c r="H14" s="78"/>
      <c r="I14" s="83" t="str">
        <f>IFERROR(VLOOKUP(H14,Tabela2[#All],5,FALSE),"")</f>
        <v/>
      </c>
      <c r="J14" s="84"/>
      <c r="K14" s="83" t="str">
        <f t="shared" si="1"/>
        <v/>
      </c>
    </row>
    <row r="15" ht="14.25" customHeight="1" spans="2:11">
      <c r="B15" s="72"/>
      <c r="C15" s="72"/>
      <c r="D15" s="72"/>
      <c r="E15" s="31"/>
      <c r="F15" s="41"/>
      <c r="H15" s="76"/>
      <c r="I15" s="82" t="str">
        <f>IFERROR(VLOOKUP(H15,Tabela2[#All],5,FALSE),"")</f>
        <v/>
      </c>
      <c r="J15" s="82"/>
      <c r="K15" s="82" t="str">
        <f t="shared" si="1"/>
        <v/>
      </c>
    </row>
    <row r="16" ht="15" spans="2:11">
      <c r="B16" s="28"/>
      <c r="C16" s="28"/>
      <c r="D16" s="28"/>
      <c r="E16" s="29"/>
      <c r="F16" s="73" t="str">
        <f t="shared" si="0"/>
        <v/>
      </c>
      <c r="H16" s="78"/>
      <c r="I16" s="83" t="str">
        <f>IFERROR(VLOOKUP(H16,Tabela2[#All],5,FALSE),"")</f>
        <v/>
      </c>
      <c r="J16" s="84"/>
      <c r="K16" s="83" t="str">
        <f t="shared" si="1"/>
        <v/>
      </c>
    </row>
    <row r="17" ht="14.25" customHeight="1" spans="2:11">
      <c r="B17" s="72"/>
      <c r="C17" s="72"/>
      <c r="D17" s="72"/>
      <c r="E17" s="31"/>
      <c r="F17" s="41" t="str">
        <f t="shared" si="0"/>
        <v/>
      </c>
      <c r="H17" s="76"/>
      <c r="I17" s="82" t="str">
        <f>IFERROR(VLOOKUP(H17,Tabela2[#All],5,FALSE),"")</f>
        <v/>
      </c>
      <c r="J17" s="82"/>
      <c r="K17" s="82" t="str">
        <f t="shared" si="1"/>
        <v/>
      </c>
    </row>
    <row r="18" ht="15" spans="2:11">
      <c r="B18" s="28"/>
      <c r="C18" s="28"/>
      <c r="D18" s="28"/>
      <c r="E18" s="29"/>
      <c r="F18" s="73" t="str">
        <f t="shared" si="0"/>
        <v/>
      </c>
      <c r="H18" s="78"/>
      <c r="I18" s="83" t="str">
        <f>IFERROR(VLOOKUP(H18,Tabela2[#All],5,FALSE),"")</f>
        <v/>
      </c>
      <c r="J18" s="84"/>
      <c r="K18" s="83" t="str">
        <f t="shared" si="1"/>
        <v/>
      </c>
    </row>
    <row r="19" ht="14.25" customHeight="1" spans="2:11">
      <c r="B19" s="72"/>
      <c r="C19" s="72"/>
      <c r="D19" s="72"/>
      <c r="E19" s="31"/>
      <c r="F19" s="41" t="str">
        <f t="shared" si="0"/>
        <v/>
      </c>
      <c r="H19" s="76"/>
      <c r="I19" s="82" t="str">
        <f>IFERROR(VLOOKUP(H19,Tabela2[#All],5,FALSE),"")</f>
        <v/>
      </c>
      <c r="J19" s="82"/>
      <c r="K19" s="82" t="str">
        <f t="shared" si="1"/>
        <v/>
      </c>
    </row>
    <row r="20" ht="15" spans="2:11">
      <c r="B20" s="28"/>
      <c r="C20" s="28"/>
      <c r="D20" s="28"/>
      <c r="E20" s="29"/>
      <c r="F20" s="73" t="str">
        <f t="shared" si="0"/>
        <v/>
      </c>
      <c r="H20" s="78"/>
      <c r="I20" s="83" t="str">
        <f>IFERROR(VLOOKUP(H20,Tabela2[#All],5,FALSE),"")</f>
        <v/>
      </c>
      <c r="J20" s="84"/>
      <c r="K20" s="83" t="str">
        <f t="shared" si="1"/>
        <v/>
      </c>
    </row>
    <row r="21" ht="14.25" customHeight="1" spans="2:11">
      <c r="B21" s="72"/>
      <c r="C21" s="72"/>
      <c r="D21" s="72"/>
      <c r="E21" s="31"/>
      <c r="F21" s="41" t="str">
        <f t="shared" si="0"/>
        <v/>
      </c>
      <c r="H21" s="76"/>
      <c r="I21" s="82" t="str">
        <f>IFERROR(VLOOKUP(H21,Tabela2[#All],5,FALSE),"")</f>
        <v/>
      </c>
      <c r="J21" s="82"/>
      <c r="K21" s="82" t="str">
        <f t="shared" si="1"/>
        <v/>
      </c>
    </row>
    <row r="22" ht="15" spans="2:10">
      <c r="B22" s="28"/>
      <c r="C22" s="28"/>
      <c r="D22" s="28"/>
      <c r="E22" s="29"/>
      <c r="F22" s="73" t="str">
        <f t="shared" si="0"/>
        <v/>
      </c>
      <c r="H22" s="79"/>
      <c r="I22" s="79"/>
      <c r="J22" s="79"/>
    </row>
    <row r="23" ht="14.25" customHeight="1" spans="2:10">
      <c r="B23" s="72"/>
      <c r="C23" s="72"/>
      <c r="D23" s="72"/>
      <c r="E23" s="31"/>
      <c r="F23" s="41" t="str">
        <f t="shared" si="0"/>
        <v/>
      </c>
      <c r="H23" s="79"/>
      <c r="I23" s="79"/>
      <c r="J23" s="79"/>
    </row>
    <row r="24" ht="15" spans="2:10">
      <c r="B24" s="28"/>
      <c r="C24" s="28"/>
      <c r="D24" s="28"/>
      <c r="E24" s="29"/>
      <c r="F24" s="73" t="str">
        <f t="shared" si="0"/>
        <v/>
      </c>
      <c r="H24" s="79"/>
      <c r="I24" s="79"/>
      <c r="J24" s="79"/>
    </row>
    <row r="25" ht="14.25" customHeight="1" spans="2:10">
      <c r="B25" s="72"/>
      <c r="C25" s="72"/>
      <c r="D25" s="72"/>
      <c r="E25" s="31"/>
      <c r="F25" s="41" t="str">
        <f t="shared" si="0"/>
        <v/>
      </c>
      <c r="H25" s="79"/>
      <c r="I25" s="79"/>
      <c r="J25" s="79"/>
    </row>
    <row r="26" ht="15" spans="2:10">
      <c r="B26" s="28"/>
      <c r="C26" s="28"/>
      <c r="D26" s="28"/>
      <c r="E26" s="29"/>
      <c r="F26" s="73" t="str">
        <f t="shared" si="0"/>
        <v/>
      </c>
      <c r="H26" s="79"/>
      <c r="I26" s="79"/>
      <c r="J26" s="79"/>
    </row>
    <row r="27" ht="14.25" spans="2:10">
      <c r="B27" s="72"/>
      <c r="C27" s="72"/>
      <c r="D27" s="72"/>
      <c r="E27" s="31"/>
      <c r="F27" s="41" t="str">
        <f t="shared" si="0"/>
        <v/>
      </c>
      <c r="H27" s="79"/>
      <c r="I27" s="79"/>
      <c r="J27" s="79"/>
    </row>
    <row r="28" ht="15" spans="2:6">
      <c r="B28" s="28"/>
      <c r="C28" s="28"/>
      <c r="D28" s="28"/>
      <c r="E28" s="29"/>
      <c r="F28" s="73" t="str">
        <f t="shared" si="0"/>
        <v/>
      </c>
    </row>
    <row r="29" ht="14.25" spans="2:6">
      <c r="B29" s="72"/>
      <c r="C29" s="72"/>
      <c r="D29" s="72"/>
      <c r="E29" s="31"/>
      <c r="F29" s="41" t="str">
        <f t="shared" si="0"/>
        <v/>
      </c>
    </row>
    <row r="30" ht="15" spans="2:6">
      <c r="B30" s="28"/>
      <c r="C30" s="28"/>
      <c r="D30" s="28"/>
      <c r="E30" s="29"/>
      <c r="F30" s="73" t="str">
        <f t="shared" si="0"/>
        <v/>
      </c>
    </row>
    <row r="31" ht="14.25" spans="2:6">
      <c r="B31" s="72"/>
      <c r="C31" s="72"/>
      <c r="D31" s="72"/>
      <c r="E31" s="31"/>
      <c r="F31" s="41" t="str">
        <f t="shared" si="0"/>
        <v/>
      </c>
    </row>
    <row r="32" ht="15" spans="2:6">
      <c r="B32" s="28"/>
      <c r="C32" s="28"/>
      <c r="D32" s="28"/>
      <c r="E32" s="29"/>
      <c r="F32" s="73" t="str">
        <f t="shared" si="0"/>
        <v/>
      </c>
    </row>
    <row r="33" ht="14.25" spans="2:6">
      <c r="B33" s="72"/>
      <c r="C33" s="72"/>
      <c r="D33" s="72"/>
      <c r="E33" s="31"/>
      <c r="F33" s="41" t="str">
        <f t="shared" si="0"/>
        <v/>
      </c>
    </row>
    <row r="34" ht="15" spans="2:6">
      <c r="B34" s="28"/>
      <c r="C34" s="28"/>
      <c r="D34" s="28"/>
      <c r="E34" s="29"/>
      <c r="F34" s="73" t="str">
        <f t="shared" si="0"/>
        <v/>
      </c>
    </row>
    <row r="35" ht="14.25" spans="2:6">
      <c r="B35" s="72"/>
      <c r="C35" s="72"/>
      <c r="D35" s="72"/>
      <c r="E35" s="31"/>
      <c r="F35" s="41" t="str">
        <f t="shared" si="0"/>
        <v/>
      </c>
    </row>
  </sheetData>
  <mergeCells count="2">
    <mergeCell ref="H2:I2"/>
    <mergeCell ref="H10:K10"/>
  </mergeCells>
  <dataValidations count="1">
    <dataValidation type="list" allowBlank="1" showInputMessage="1" showErrorMessage="1" sqref="H12:H21">
      <formula1>$B$3:$B$35</formula1>
    </dataValidation>
  </dataValidations>
  <pageMargins left="0.511811024" right="0.511811024" top="0.787401575" bottom="0.787401575" header="0.31496062" footer="0.31496062"/>
  <headerFooter/>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5"/>
  <sheetViews>
    <sheetView zoomScale="115" zoomScaleNormal="115" workbookViewId="0">
      <selection activeCell="C12" sqref="C12"/>
    </sheetView>
  </sheetViews>
  <sheetFormatPr defaultColWidth="9" defaultRowHeight="13.5"/>
  <cols>
    <col min="2" max="2" width="21.125" customWidth="1"/>
    <col min="4" max="4" width="17.75" customWidth="1"/>
    <col min="5" max="5" width="11" customWidth="1"/>
  </cols>
  <sheetData>
    <row r="1" ht="14.25"/>
    <row r="2" ht="15.75" spans="2:6">
      <c r="B2" s="39" t="s">
        <v>97</v>
      </c>
      <c r="C2" s="52"/>
      <c r="D2" s="52"/>
      <c r="E2" s="67"/>
      <c r="F2" s="40"/>
    </row>
    <row r="3" ht="14.25" spans="2:6">
      <c r="B3" s="42" t="s">
        <v>23</v>
      </c>
      <c r="C3" s="31" t="s">
        <v>24</v>
      </c>
      <c r="D3" s="31" t="s">
        <v>25</v>
      </c>
      <c r="E3" s="41" t="s">
        <v>98</v>
      </c>
      <c r="F3" s="43" t="s">
        <v>99</v>
      </c>
    </row>
    <row r="4" ht="15" spans="2:6">
      <c r="B4" s="45" t="s">
        <v>29</v>
      </c>
      <c r="C4" s="33">
        <v>10</v>
      </c>
      <c r="D4" s="33">
        <v>10</v>
      </c>
      <c r="E4" s="44">
        <v>20</v>
      </c>
      <c r="F4" s="46">
        <v>15</v>
      </c>
    </row>
    <row r="5" ht="15" spans="2:6">
      <c r="B5" s="47"/>
      <c r="C5" s="53"/>
      <c r="D5" s="53"/>
      <c r="E5" s="68"/>
      <c r="F5" s="48"/>
    </row>
    <row r="6" ht="15"/>
    <row r="7" ht="15.75" spans="2:8">
      <c r="B7" s="54" t="s">
        <v>100</v>
      </c>
      <c r="C7" s="55"/>
      <c r="D7" s="55"/>
      <c r="E7" s="55"/>
      <c r="F7" s="55"/>
      <c r="G7" s="55"/>
      <c r="H7" s="69"/>
    </row>
    <row r="8" ht="14.25" spans="2:8">
      <c r="B8" s="42" t="s">
        <v>23</v>
      </c>
      <c r="C8" s="31" t="s">
        <v>26</v>
      </c>
      <c r="D8" s="31" t="s">
        <v>101</v>
      </c>
      <c r="E8" s="31" t="s">
        <v>27</v>
      </c>
      <c r="F8" s="41" t="s">
        <v>99</v>
      </c>
      <c r="G8" s="41" t="s">
        <v>36</v>
      </c>
      <c r="H8" s="43" t="s">
        <v>28</v>
      </c>
    </row>
    <row r="9" ht="15" spans="2:8">
      <c r="B9" s="45" t="s">
        <v>102</v>
      </c>
      <c r="C9" s="33" t="s">
        <v>103</v>
      </c>
      <c r="D9" s="33"/>
      <c r="E9" s="33"/>
      <c r="F9" s="44"/>
      <c r="G9" s="44" t="s">
        <v>104</v>
      </c>
      <c r="H9" s="46" t="s">
        <v>105</v>
      </c>
    </row>
    <row r="10" ht="14.25" spans="2:8">
      <c r="B10" s="42"/>
      <c r="C10" s="31"/>
      <c r="D10" s="31"/>
      <c r="E10" s="31"/>
      <c r="F10" s="41"/>
      <c r="G10" s="41"/>
      <c r="H10" s="43"/>
    </row>
    <row r="11" ht="45" spans="2:8">
      <c r="B11" s="45" t="s">
        <v>30</v>
      </c>
      <c r="C11" s="56" t="s">
        <v>106</v>
      </c>
      <c r="D11" s="33" t="s">
        <v>107</v>
      </c>
      <c r="E11" s="33"/>
      <c r="F11" s="44">
        <v>3</v>
      </c>
      <c r="G11" s="44" t="s">
        <v>108</v>
      </c>
      <c r="H11" s="46" t="s">
        <v>109</v>
      </c>
    </row>
    <row r="12" ht="14.25" spans="2:8">
      <c r="B12" s="42"/>
      <c r="C12" s="31"/>
      <c r="D12" s="31"/>
      <c r="E12" s="31"/>
      <c r="F12" s="41"/>
      <c r="G12" s="41"/>
      <c r="H12" s="43"/>
    </row>
    <row r="13" ht="15.75" spans="2:8">
      <c r="B13" s="49"/>
      <c r="C13" s="57"/>
      <c r="D13" s="57"/>
      <c r="E13" s="57"/>
      <c r="F13" s="70"/>
      <c r="G13" s="70"/>
      <c r="H13" s="50"/>
    </row>
    <row r="14" ht="15"/>
    <row r="15" ht="15.75" spans="2:9">
      <c r="B15" s="39" t="s">
        <v>110</v>
      </c>
      <c r="C15" s="52"/>
      <c r="D15" s="52"/>
      <c r="E15" s="52"/>
      <c r="F15" s="52"/>
      <c r="G15" s="52"/>
      <c r="H15" s="52"/>
      <c r="I15" s="40"/>
    </row>
    <row r="16" ht="14.25" spans="2:9">
      <c r="B16" s="58" t="s">
        <v>23</v>
      </c>
      <c r="C16" s="59" t="s">
        <v>24</v>
      </c>
      <c r="D16" s="59"/>
      <c r="E16" s="59" t="s">
        <v>111</v>
      </c>
      <c r="F16" s="59" t="s">
        <v>112</v>
      </c>
      <c r="G16" s="59" t="s">
        <v>99</v>
      </c>
      <c r="H16" s="59" t="s">
        <v>113</v>
      </c>
      <c r="I16" s="71" t="s">
        <v>98</v>
      </c>
    </row>
    <row r="17" ht="15" spans="2:9">
      <c r="B17" s="5" t="s">
        <v>114</v>
      </c>
      <c r="C17" s="107" t="s">
        <v>115</v>
      </c>
      <c r="D17" s="11"/>
      <c r="E17" s="33">
        <v>1</v>
      </c>
      <c r="F17" s="33">
        <v>4</v>
      </c>
      <c r="G17" s="33">
        <f>PRODUCT(E17:F17)</f>
        <v>4</v>
      </c>
      <c r="H17" s="33">
        <v>30</v>
      </c>
      <c r="I17" s="46">
        <f>PRODUCT(H17,E17)</f>
        <v>30</v>
      </c>
    </row>
    <row r="18" ht="14.25" spans="2:9">
      <c r="B18" s="58"/>
      <c r="C18" s="59"/>
      <c r="D18" s="59"/>
      <c r="E18" s="59"/>
      <c r="F18" s="59"/>
      <c r="G18" s="59"/>
      <c r="H18" s="59"/>
      <c r="I18" s="71"/>
    </row>
    <row r="19" ht="15" spans="2:9">
      <c r="B19" s="5" t="s">
        <v>116</v>
      </c>
      <c r="C19" s="11" t="s">
        <v>117</v>
      </c>
      <c r="D19" s="11"/>
      <c r="E19" s="33">
        <v>2</v>
      </c>
      <c r="F19" s="33">
        <v>2</v>
      </c>
      <c r="G19" s="33">
        <f>PRODUCT(E19:F19)</f>
        <v>4</v>
      </c>
      <c r="H19" s="33"/>
      <c r="I19" s="46">
        <f>PRODUCT(H19,E19)</f>
        <v>2</v>
      </c>
    </row>
    <row r="20" ht="14.25" spans="2:9">
      <c r="B20" s="58"/>
      <c r="C20" s="59"/>
      <c r="D20" s="59"/>
      <c r="E20" s="59"/>
      <c r="F20" s="59"/>
      <c r="G20" s="59"/>
      <c r="H20" s="59"/>
      <c r="I20" s="71"/>
    </row>
    <row r="21" ht="15" spans="2:9">
      <c r="B21" s="5" t="s">
        <v>118</v>
      </c>
      <c r="C21" s="11"/>
      <c r="D21" s="11"/>
      <c r="E21" s="33">
        <v>1</v>
      </c>
      <c r="F21" s="33">
        <v>2</v>
      </c>
      <c r="G21" s="33">
        <f>PRODUCT(E21:F21)</f>
        <v>2</v>
      </c>
      <c r="H21" s="33"/>
      <c r="I21" s="46"/>
    </row>
    <row r="22" ht="14.25" spans="2:9">
      <c r="B22" s="58" t="s">
        <v>119</v>
      </c>
      <c r="C22" s="59"/>
      <c r="D22" s="59"/>
      <c r="E22" s="59">
        <v>2</v>
      </c>
      <c r="F22" s="59">
        <v>1</v>
      </c>
      <c r="G22" s="59">
        <f>PRODUCT(E22:F22)</f>
        <v>2</v>
      </c>
      <c r="H22" s="59"/>
      <c r="I22" s="71"/>
    </row>
    <row r="23" ht="15" spans="2:9">
      <c r="B23" s="5"/>
      <c r="C23" s="11"/>
      <c r="D23" s="11"/>
      <c r="E23" s="33"/>
      <c r="F23" s="33"/>
      <c r="G23" s="33"/>
      <c r="H23" s="33"/>
      <c r="I23" s="46"/>
    </row>
    <row r="24" ht="14.25" spans="2:9">
      <c r="B24" s="58"/>
      <c r="C24" s="59"/>
      <c r="D24" s="59"/>
      <c r="E24" s="59"/>
      <c r="F24" s="59"/>
      <c r="G24" s="59"/>
      <c r="H24" s="59"/>
      <c r="I24" s="71"/>
    </row>
    <row r="25" ht="15" spans="2:9">
      <c r="B25" s="5"/>
      <c r="C25" s="11"/>
      <c r="D25" s="11"/>
      <c r="E25" s="33"/>
      <c r="F25" s="33"/>
      <c r="G25" s="33"/>
      <c r="H25" s="33"/>
      <c r="I25" s="46"/>
    </row>
    <row r="26" ht="14.25" spans="2:9">
      <c r="B26" s="58"/>
      <c r="C26" s="59"/>
      <c r="D26" s="59"/>
      <c r="E26" s="59"/>
      <c r="F26" s="59"/>
      <c r="G26" s="59"/>
      <c r="H26" s="59"/>
      <c r="I26" s="71"/>
    </row>
    <row r="27" ht="15" spans="2:9">
      <c r="B27" s="5"/>
      <c r="C27" s="11"/>
      <c r="D27" s="11"/>
      <c r="E27" s="33"/>
      <c r="F27" s="33"/>
      <c r="G27" s="33"/>
      <c r="H27" s="33"/>
      <c r="I27" s="46"/>
    </row>
    <row r="28" ht="14.25" spans="2:9">
      <c r="B28" s="58"/>
      <c r="C28" s="59"/>
      <c r="D28" s="59"/>
      <c r="E28" s="59"/>
      <c r="F28" s="59"/>
      <c r="G28" s="59"/>
      <c r="H28" s="59"/>
      <c r="I28" s="71"/>
    </row>
    <row r="29" ht="15.75" spans="2:9">
      <c r="B29" s="7"/>
      <c r="C29" s="60"/>
      <c r="D29" s="60"/>
      <c r="E29" s="57"/>
      <c r="F29" s="57"/>
      <c r="G29" s="57"/>
      <c r="H29" s="57"/>
      <c r="I29" s="50"/>
    </row>
    <row r="30" ht="14.25"/>
    <row r="31" ht="14.25"/>
    <row r="32" ht="15.75" spans="2:4">
      <c r="B32" s="1" t="s">
        <v>120</v>
      </c>
      <c r="C32" s="61">
        <f>SUM(G17:G29,F9:F13,F4:F5)</f>
        <v>30</v>
      </c>
      <c r="D32" s="2">
        <f>Cavalado!C3*3</f>
        <v>60</v>
      </c>
    </row>
    <row r="33" ht="15" customHeight="1" spans="2:4">
      <c r="B33" s="62" t="s">
        <v>121</v>
      </c>
      <c r="C33" s="63">
        <f>Cavalado!C3*10</f>
        <v>200</v>
      </c>
      <c r="D33" s="64"/>
    </row>
    <row r="34" ht="15.75" customHeight="1" spans="2:4">
      <c r="B34" s="7" t="s">
        <v>122</v>
      </c>
      <c r="C34" s="65" t="str">
        <f>IF(C32&gt;D32,"Sobrecarga","Sem Penalidade")</f>
        <v>Sem Penalidade</v>
      </c>
      <c r="D34" s="66"/>
    </row>
    <row r="35" ht="14.25"/>
  </sheetData>
  <mergeCells count="19">
    <mergeCell ref="B2:F2"/>
    <mergeCell ref="B7:H7"/>
    <mergeCell ref="B15:I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3:D33"/>
    <mergeCell ref="C34:D34"/>
  </mergeCells>
  <pageMargins left="0.511811024" right="0.511811024" top="0.787401575" bottom="0.787401575" header="0.31496062" footer="0.31496062"/>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Q33"/>
  <sheetViews>
    <sheetView zoomScale="115" zoomScaleNormal="115" workbookViewId="0">
      <selection activeCell="D30" sqref="D30"/>
    </sheetView>
  </sheetViews>
  <sheetFormatPr defaultColWidth="9" defaultRowHeight="13.5"/>
  <cols>
    <col min="2" max="2" width="22" customWidth="1"/>
    <col min="3" max="3" width="9.625" customWidth="1"/>
    <col min="4" max="4" width="10.625" customWidth="1"/>
    <col min="5" max="5" width="13.25" customWidth="1"/>
    <col min="6" max="7" width="11.375" customWidth="1"/>
    <col min="8" max="8" width="11.125" customWidth="1"/>
    <col min="9" max="9" width="21.375" customWidth="1"/>
    <col min="10" max="10" width="10.125" customWidth="1"/>
    <col min="11" max="11" width="13.875" customWidth="1"/>
    <col min="12" max="12" width="21.375" customWidth="1"/>
    <col min="13" max="13" width="26.75" customWidth="1"/>
    <col min="14" max="14" width="9.875" customWidth="1"/>
    <col min="15" max="15" width="12.625" customWidth="1"/>
  </cols>
  <sheetData>
    <row r="1" ht="14.25"/>
    <row r="2" ht="15" customHeight="1" spans="2:16">
      <c r="B2" s="28" t="s">
        <v>123</v>
      </c>
      <c r="C2" s="29" t="s">
        <v>124</v>
      </c>
      <c r="D2" s="29" t="s">
        <v>1</v>
      </c>
      <c r="E2" s="29" t="s">
        <v>125</v>
      </c>
      <c r="F2" s="29" t="s">
        <v>126</v>
      </c>
      <c r="G2" s="29" t="s">
        <v>41</v>
      </c>
      <c r="H2" s="29" t="s">
        <v>24</v>
      </c>
      <c r="I2" s="29" t="s">
        <v>127</v>
      </c>
      <c r="J2" s="29" t="s">
        <v>75</v>
      </c>
      <c r="K2" s="37" t="s">
        <v>128</v>
      </c>
      <c r="L2" s="37" t="s">
        <v>129</v>
      </c>
      <c r="M2" s="38" t="s">
        <v>130</v>
      </c>
      <c r="O2" s="39" t="s">
        <v>131</v>
      </c>
      <c r="P2" s="40"/>
    </row>
    <row r="3" ht="14.25" spans="2:16">
      <c r="B3" s="30" t="s">
        <v>132</v>
      </c>
      <c r="C3" s="31" t="s">
        <v>133</v>
      </c>
      <c r="D3" s="31">
        <f>VLOOKUP(C3,Cavalado!$B$3:$D$8,3,FALSE)</f>
        <v>2</v>
      </c>
      <c r="E3" s="31">
        <f>ROUNDDOWN(Cavalado!$G$2/2,0)</f>
        <v>4</v>
      </c>
      <c r="F3" s="31" t="str">
        <f>IF(Tabela1[[#This Row],[Treinada?]]="sim",VLOOKUP(Cavalado!$G$2,'uns dados aí'!$I$2:$K$22,2,TRUE),"")</f>
        <v/>
      </c>
      <c r="G3" s="31"/>
      <c r="H3" s="31"/>
      <c r="I3" s="31"/>
      <c r="J3" s="31">
        <f>SUM(Tabela1[[#This Row],[MOD]:[Bônus Habilidade]])-IF(Tabela1[[#This Row],[Penalidade de Armadura?]]="sim",Cavalado!$D$16,0)</f>
        <v>-4</v>
      </c>
      <c r="K3" s="31" t="s">
        <v>134</v>
      </c>
      <c r="L3" s="31" t="s">
        <v>135</v>
      </c>
      <c r="M3" s="41" t="s">
        <v>136</v>
      </c>
      <c r="O3" s="42" t="s">
        <v>34</v>
      </c>
      <c r="P3" s="43">
        <v>2</v>
      </c>
    </row>
    <row r="4" ht="15" spans="2:16">
      <c r="B4" s="32" t="s">
        <v>137</v>
      </c>
      <c r="C4" s="33" t="s">
        <v>138</v>
      </c>
      <c r="D4" s="33">
        <f>VLOOKUP(C4,Cavalado!$B$3:$D$8,3,FALSE)</f>
        <v>0</v>
      </c>
      <c r="E4" s="33">
        <f>ROUNDDOWN(Cavalado!$G$2/2,0)</f>
        <v>4</v>
      </c>
      <c r="F4" s="33" t="str">
        <f>IF(Tabela1[[#This Row],[Treinada?]]="sim",VLOOKUP(Cavalado!$G$2,'uns dados aí'!$I$2:$K$22,2,TRUE),"")</f>
        <v/>
      </c>
      <c r="G4" s="33"/>
      <c r="H4" s="33"/>
      <c r="I4" s="33"/>
      <c r="J4" s="33">
        <f>SUM(Tabela1[[#This Row],[MOD]:[Bônus Habilidade]])-IF(Tabela1[[#This Row],[Penalidade de Armadura?]]="sim",Cavalado!$D$16,0)</f>
        <v>4</v>
      </c>
      <c r="K4" s="33" t="s">
        <v>134</v>
      </c>
      <c r="L4" s="33" t="s">
        <v>136</v>
      </c>
      <c r="M4" s="44" t="s">
        <v>135</v>
      </c>
      <c r="O4" s="45" t="s">
        <v>57</v>
      </c>
      <c r="P4" s="46">
        <v>4</v>
      </c>
    </row>
    <row r="5" ht="15" spans="2:16">
      <c r="B5" s="30" t="s">
        <v>139</v>
      </c>
      <c r="C5" s="31" t="s">
        <v>140</v>
      </c>
      <c r="D5" s="31">
        <f>VLOOKUP(C5,Cavalado!$B$3:$D$8,3,FALSE)</f>
        <v>5</v>
      </c>
      <c r="E5" s="31">
        <f>ROUNDDOWN(Cavalado!$G$2/2,0)</f>
        <v>4</v>
      </c>
      <c r="F5" s="31" t="str">
        <f>IF(Tabela1[[#This Row],[Treinada?]]="sim",VLOOKUP(Cavalado!$G$2,'uns dados aí'!$I$2:$K$22,2,TRUE),"")</f>
        <v/>
      </c>
      <c r="G5" s="31"/>
      <c r="H5" s="31"/>
      <c r="I5" s="31"/>
      <c r="J5" s="31">
        <f>SUM(Tabela1[[#This Row],[MOD]:[Bônus Habilidade]])-IF(Tabela1[[#This Row],[Penalidade de Armadura?]]="sim",Cavalado!$D$16,0)</f>
        <v>9</v>
      </c>
      <c r="K5" s="31" t="s">
        <v>134</v>
      </c>
      <c r="L5" s="31" t="s">
        <v>135</v>
      </c>
      <c r="M5" s="41" t="s">
        <v>135</v>
      </c>
      <c r="O5" s="47" t="s">
        <v>67</v>
      </c>
      <c r="P5" s="48">
        <v>6</v>
      </c>
    </row>
    <row r="6" ht="16.5" spans="2:13">
      <c r="B6" s="32" t="s">
        <v>141</v>
      </c>
      <c r="C6" s="33" t="s">
        <v>138</v>
      </c>
      <c r="D6" s="33">
        <f>VLOOKUP(C6,Cavalado!$B$3:$D$8,3,FALSE)</f>
        <v>0</v>
      </c>
      <c r="E6" s="33">
        <f>ROUNDDOWN(Cavalado!$G$2/2,0)</f>
        <v>4</v>
      </c>
      <c r="F6" s="33" t="str">
        <f>IF(Tabela1[[#This Row],[Treinada?]]="sim",VLOOKUP(Cavalado!$G$2,'uns dados aí'!$I$2:$K$22,2,TRUE),"")</f>
        <v/>
      </c>
      <c r="G6" s="33"/>
      <c r="H6" s="33"/>
      <c r="I6" s="33"/>
      <c r="J6" s="33">
        <f>SUM(Tabela1[[#This Row],[MOD]:[Bônus Habilidade]])-IF(Tabela1[[#This Row],[Penalidade de Armadura?]]="sim",Cavalado!$D$16,0)</f>
        <v>4</v>
      </c>
      <c r="K6" s="33" t="s">
        <v>134</v>
      </c>
      <c r="L6" s="33" t="s">
        <v>135</v>
      </c>
      <c r="M6" s="44" t="s">
        <v>135</v>
      </c>
    </row>
    <row r="7" ht="15.75" customHeight="1" spans="2:16">
      <c r="B7" s="30" t="s">
        <v>142</v>
      </c>
      <c r="C7" s="31" t="s">
        <v>133</v>
      </c>
      <c r="D7" s="31">
        <f>VLOOKUP(C7,Cavalado!$B$3:$D$8,3,FALSE)</f>
        <v>2</v>
      </c>
      <c r="E7" s="31">
        <f>ROUNDDOWN(Cavalado!$G$2/2,0)</f>
        <v>4</v>
      </c>
      <c r="F7" s="31" t="str">
        <f>IF(Tabela1[[#This Row],[Treinada?]]="sim",VLOOKUP(Cavalado!$G$2,'uns dados aí'!$I$2:$K$22,2,TRUE),"")</f>
        <v/>
      </c>
      <c r="G7" s="31"/>
      <c r="H7" s="31"/>
      <c r="I7" s="31"/>
      <c r="J7" s="31">
        <f>SUM(Tabela1[[#This Row],[MOD]:[Bônus Habilidade]])-IF(Tabela1[[#This Row],[Penalidade de Armadura?]]="sim",Cavalado!$D$16,0)</f>
        <v>6</v>
      </c>
      <c r="K7" s="31" t="s">
        <v>134</v>
      </c>
      <c r="L7" s="31" t="s">
        <v>135</v>
      </c>
      <c r="M7" s="41" t="s">
        <v>135</v>
      </c>
      <c r="O7" s="39" t="s">
        <v>143</v>
      </c>
      <c r="P7" s="40"/>
    </row>
    <row r="8" ht="15" customHeight="1" spans="2:16">
      <c r="B8" s="32" t="s">
        <v>144</v>
      </c>
      <c r="C8" s="33" t="s">
        <v>145</v>
      </c>
      <c r="D8" s="33">
        <f>VLOOKUP(C8,Cavalado!$B$3:$D$8,3,FALSE)</f>
        <v>0</v>
      </c>
      <c r="E8" s="33">
        <f>ROUNDDOWN(Cavalado!$G$2/2,0)</f>
        <v>4</v>
      </c>
      <c r="F8" s="33">
        <f>IF(Tabela1[[#This Row],[Treinada?]]="sim",VLOOKUP(Cavalado!$G$2,'uns dados aí'!$I$2:$K$22,2,TRUE),"")</f>
        <v>8</v>
      </c>
      <c r="G8" s="33"/>
      <c r="H8" s="33"/>
      <c r="I8" s="33"/>
      <c r="J8" s="33">
        <f>SUM(Tabela1[[#This Row],[MOD]:[Bônus Habilidade]])-IF(Tabela1[[#This Row],[Penalidade de Armadura?]]="sim",Cavalado!$D$16,0)</f>
        <v>12</v>
      </c>
      <c r="K8" s="33" t="s">
        <v>136</v>
      </c>
      <c r="L8" s="33" t="s">
        <v>136</v>
      </c>
      <c r="M8" s="44" t="s">
        <v>135</v>
      </c>
      <c r="O8" s="42" t="s">
        <v>4</v>
      </c>
      <c r="P8" s="43">
        <f>VLOOKUP(O8,'uns dados aí'!$B$16:$E$22,4,FALSE)</f>
        <v>4</v>
      </c>
    </row>
    <row r="9" ht="15" spans="2:16">
      <c r="B9" s="30" t="s">
        <v>146</v>
      </c>
      <c r="C9" s="31" t="s">
        <v>147</v>
      </c>
      <c r="D9" s="31">
        <f>VLOOKUP(C9,Cavalado!$B$3:$D$8,3,FALSE)</f>
        <v>0</v>
      </c>
      <c r="E9" s="31">
        <f>ROUNDDOWN(Cavalado!$G$2/2,0)</f>
        <v>4</v>
      </c>
      <c r="F9" s="31">
        <f>IF(Tabela1[[#This Row],[Treinada?]]="sim",VLOOKUP(Cavalado!$G$2,'uns dados aí'!$I$2:$K$22,2,TRUE),"")</f>
        <v>8</v>
      </c>
      <c r="G9" s="31"/>
      <c r="H9" s="31"/>
      <c r="I9" s="31"/>
      <c r="J9" s="31">
        <f>SUM(Tabela1[[#This Row],[MOD]:[Bônus Habilidade]])-IF(Tabela1[[#This Row],[Penalidade de Armadura?]]="sim",Cavalado!$D$16,0)</f>
        <v>12</v>
      </c>
      <c r="K9" s="31" t="s">
        <v>136</v>
      </c>
      <c r="L9" s="31" t="s">
        <v>135</v>
      </c>
      <c r="M9" s="41" t="s">
        <v>135</v>
      </c>
      <c r="O9" s="45" t="s">
        <v>9</v>
      </c>
      <c r="P9" s="46">
        <f>VLOOKUP(O9,'uns dados aí'!$B$16:$E$22,4,FALSE)</f>
        <v>0</v>
      </c>
    </row>
    <row r="10" ht="15" spans="2:16">
      <c r="B10" s="32" t="s">
        <v>148</v>
      </c>
      <c r="C10" s="33" t="s">
        <v>138</v>
      </c>
      <c r="D10" s="33">
        <f>VLOOKUP(C10,Cavalado!$B$3:$D$8,3,FALSE)</f>
        <v>0</v>
      </c>
      <c r="E10" s="33">
        <f>ROUNDDOWN(Cavalado!$G$2/2,0)</f>
        <v>4</v>
      </c>
      <c r="F10" s="33" t="str">
        <f>IF(Tabela1[[#This Row],[Treinada?]]="sim",VLOOKUP(Cavalado!$G$2,'uns dados aí'!$I$2:$K$22,2,TRUE),"")</f>
        <v/>
      </c>
      <c r="G10" s="33"/>
      <c r="H10" s="33"/>
      <c r="I10" s="33"/>
      <c r="J10" s="33">
        <f>SUM(Tabela1[[#This Row],[MOD]:[Bônus Habilidade]])-IF(Tabela1[[#This Row],[Penalidade de Armadura?]]="sim",Cavalado!$D$16,0)</f>
        <v>4</v>
      </c>
      <c r="K10" s="33" t="s">
        <v>134</v>
      </c>
      <c r="L10" s="33" t="s">
        <v>135</v>
      </c>
      <c r="M10" s="44" t="s">
        <v>135</v>
      </c>
      <c r="O10" s="42" t="s">
        <v>10</v>
      </c>
      <c r="P10" s="43">
        <f>VLOOKUP(O10,'uns dados aí'!$B$16:$E$22,4,FALSE)</f>
        <v>2</v>
      </c>
    </row>
    <row r="11" ht="15" spans="2:16">
      <c r="B11" s="30" t="s">
        <v>149</v>
      </c>
      <c r="C11" s="31" t="s">
        <v>138</v>
      </c>
      <c r="D11" s="31">
        <f>VLOOKUP(C11,Cavalado!$B$3:$D$8,3,FALSE)</f>
        <v>0</v>
      </c>
      <c r="E11" s="31">
        <f>ROUNDDOWN(Cavalado!$G$2/2,0)</f>
        <v>4</v>
      </c>
      <c r="F11" s="31" t="str">
        <f>IF(Tabela1[[#This Row],[Treinada?]]="sim",VLOOKUP(Cavalado!$G$2,'uns dados aí'!$I$2:$K$22,2,TRUE),"")</f>
        <v/>
      </c>
      <c r="G11" s="31"/>
      <c r="H11" s="31"/>
      <c r="I11" s="31"/>
      <c r="J11" s="31">
        <f>SUM(Tabela1[[#This Row],[MOD]:[Bônus Habilidade]])-IF(Tabela1[[#This Row],[Penalidade de Armadura?]]="sim",Cavalado!$D$16,0)</f>
        <v>4</v>
      </c>
      <c r="K11" s="31" t="s">
        <v>134</v>
      </c>
      <c r="L11" s="31" t="s">
        <v>135</v>
      </c>
      <c r="M11" s="41" t="s">
        <v>135</v>
      </c>
      <c r="O11" s="45" t="s">
        <v>12</v>
      </c>
      <c r="P11" s="46">
        <f>VLOOKUP(O11,'uns dados aí'!$B$16:$E$22,4,FALSE)</f>
        <v>0</v>
      </c>
    </row>
    <row r="12" ht="15" spans="2:16">
      <c r="B12" s="32" t="s">
        <v>150</v>
      </c>
      <c r="C12" s="33" t="s">
        <v>151</v>
      </c>
      <c r="D12" s="33">
        <f>VLOOKUP(C12,Cavalado!$B$3:$D$8,3,FALSE)</f>
        <v>4</v>
      </c>
      <c r="E12" s="33">
        <f>ROUNDDOWN(Cavalado!$G$2/2,0)</f>
        <v>4</v>
      </c>
      <c r="F12" s="33">
        <f>IF(Tabela1[[#This Row],[Treinada?]]="sim",VLOOKUP(Cavalado!$G$2,'uns dados aí'!$I$2:$K$22,2,TRUE),"")</f>
        <v>8</v>
      </c>
      <c r="G12" s="33"/>
      <c r="H12" s="33"/>
      <c r="I12" s="33"/>
      <c r="J12" s="33">
        <f>SUM(Tabela1[[#This Row],[MOD]:[Bônus Habilidade]])-IF(Tabela1[[#This Row],[Penalidade de Armadura?]]="sim",Cavalado!$D$16,0)</f>
        <v>16</v>
      </c>
      <c r="K12" s="33" t="s">
        <v>136</v>
      </c>
      <c r="L12" s="33" t="s">
        <v>135</v>
      </c>
      <c r="M12" s="44" t="s">
        <v>135</v>
      </c>
      <c r="O12" s="42" t="s">
        <v>14</v>
      </c>
      <c r="P12" s="43">
        <f>VLOOKUP(O12,'uns dados aí'!$B$16:$E$22,4,FALSE)</f>
        <v>-2</v>
      </c>
    </row>
    <row r="13" ht="15.75" spans="2:16">
      <c r="B13" s="30" t="s">
        <v>152</v>
      </c>
      <c r="C13" s="31" t="s">
        <v>133</v>
      </c>
      <c r="D13" s="31">
        <f>VLOOKUP(C13,Cavalado!$B$3:$D$8,3,FALSE)</f>
        <v>2</v>
      </c>
      <c r="E13" s="31">
        <f>ROUNDDOWN(Cavalado!$G$2/2,0)</f>
        <v>4</v>
      </c>
      <c r="F13" s="31" t="str">
        <f>IF(Tabela1[[#This Row],[Treinada?]]="sim",VLOOKUP(Cavalado!$G$2,'uns dados aí'!$I$2:$K$22,2,TRUE),"")</f>
        <v/>
      </c>
      <c r="G13" s="31"/>
      <c r="H13" s="31"/>
      <c r="I13" s="31"/>
      <c r="J13" s="31">
        <f>SUM(Tabela1[[#This Row],[MOD]:[Bônus Habilidade]])-IF(Tabela1[[#This Row],[Penalidade de Armadura?]]="sim",Cavalado!$D$16,0)</f>
        <v>-4</v>
      </c>
      <c r="K13" s="31" t="s">
        <v>134</v>
      </c>
      <c r="L13" s="31" t="s">
        <v>135</v>
      </c>
      <c r="M13" s="41" t="s">
        <v>136</v>
      </c>
      <c r="O13" s="49" t="s">
        <v>16</v>
      </c>
      <c r="P13" s="50">
        <f>VLOOKUP(O13,'uns dados aí'!$B$16:$E$22,4,FALSE)</f>
        <v>0</v>
      </c>
    </row>
    <row r="14" ht="15.75" spans="2:13">
      <c r="B14" s="32" t="s">
        <v>153</v>
      </c>
      <c r="C14" s="33" t="s">
        <v>145</v>
      </c>
      <c r="D14" s="33">
        <f>VLOOKUP(C14,Cavalado!$B$3:$D$8,3,FALSE)</f>
        <v>0</v>
      </c>
      <c r="E14" s="33">
        <f>ROUNDDOWN(Cavalado!$G$2/2,0)</f>
        <v>4</v>
      </c>
      <c r="F14" s="33">
        <f>IF(Tabela1[[#This Row],[Treinada?]]="sim",VLOOKUP(Cavalado!$G$2,'uns dados aí'!$I$2:$K$22,2,TRUE),"")</f>
        <v>8</v>
      </c>
      <c r="G14" s="33"/>
      <c r="H14" s="33"/>
      <c r="I14" s="33"/>
      <c r="J14" s="33">
        <f>SUM(Tabela1[[#This Row],[MOD]:[Bônus Habilidade]])-IF(Tabela1[[#This Row],[Penalidade de Armadura?]]="sim",Cavalado!$D$16,0)</f>
        <v>12</v>
      </c>
      <c r="K14" s="33" t="s">
        <v>136</v>
      </c>
      <c r="L14" s="33" t="s">
        <v>136</v>
      </c>
      <c r="M14" s="44" t="s">
        <v>135</v>
      </c>
    </row>
    <row r="15" ht="14.25" spans="2:13">
      <c r="B15" s="30" t="s">
        <v>154</v>
      </c>
      <c r="C15" s="31" t="s">
        <v>133</v>
      </c>
      <c r="D15" s="31">
        <f>VLOOKUP(C15,Cavalado!$B$3:$D$8,3,FALSE)</f>
        <v>2</v>
      </c>
      <c r="E15" s="31">
        <f>ROUNDDOWN(Cavalado!$G$2/2,0)</f>
        <v>4</v>
      </c>
      <c r="F15" s="31" t="str">
        <f>IF(Tabela1[[#This Row],[Treinada?]]="sim",VLOOKUP(Cavalado!$G$2,'uns dados aí'!$I$2:$K$22,2,TRUE),"")</f>
        <v/>
      </c>
      <c r="G15" s="31"/>
      <c r="H15" s="31"/>
      <c r="I15" s="31"/>
      <c r="J15" s="31">
        <f>SUM(Tabela1[[#This Row],[MOD]:[Bônus Habilidade]])-IF(Tabela1[[#This Row],[Penalidade de Armadura?]]="sim",Cavalado!$D$16,0)</f>
        <v>6</v>
      </c>
      <c r="K15" s="31" t="s">
        <v>134</v>
      </c>
      <c r="L15" s="31" t="s">
        <v>135</v>
      </c>
      <c r="M15" s="41" t="s">
        <v>135</v>
      </c>
    </row>
    <row r="16" ht="15" spans="2:13">
      <c r="B16" s="32" t="s">
        <v>155</v>
      </c>
      <c r="C16" s="33" t="s">
        <v>138</v>
      </c>
      <c r="D16" s="33">
        <f>VLOOKUP(C16,Cavalado!$B$3:$D$8,3,FALSE)</f>
        <v>0</v>
      </c>
      <c r="E16" s="33">
        <f>ROUNDDOWN(Cavalado!$G$2/2,0)</f>
        <v>4</v>
      </c>
      <c r="F16" s="33" t="str">
        <f>IF(Tabela1[[#This Row],[Treinada?]]="sim",VLOOKUP(Cavalado!$G$2,'uns dados aí'!$I$2:$K$22,2,TRUE),"")</f>
        <v/>
      </c>
      <c r="G16" s="33"/>
      <c r="H16" s="33"/>
      <c r="I16" s="33"/>
      <c r="J16" s="33">
        <f>SUM(Tabela1[[#This Row],[MOD]:[Bônus Habilidade]])-IF(Tabela1[[#This Row],[Penalidade de Armadura?]]="sim",Cavalado!$D$16,0)</f>
        <v>4</v>
      </c>
      <c r="K16" s="33" t="s">
        <v>134</v>
      </c>
      <c r="L16" s="33" t="s">
        <v>135</v>
      </c>
      <c r="M16" s="44" t="s">
        <v>135</v>
      </c>
    </row>
    <row r="17" ht="14.25" spans="2:17">
      <c r="B17" s="30" t="s">
        <v>156</v>
      </c>
      <c r="C17" s="31" t="s">
        <v>147</v>
      </c>
      <c r="D17" s="31">
        <f>VLOOKUP(C17,Cavalado!$B$3:$D$8,3,FALSE)</f>
        <v>0</v>
      </c>
      <c r="E17" s="31">
        <f>ROUNDDOWN(Cavalado!$G$2/2,0)</f>
        <v>4</v>
      </c>
      <c r="F17" s="31" t="str">
        <f>IF(Tabela1[[#This Row],[Treinada?]]="sim",VLOOKUP(Cavalado!$G$2,'uns dados aí'!$I$2:$K$22,2,TRUE),"")</f>
        <v/>
      </c>
      <c r="G17" s="31"/>
      <c r="H17" s="31"/>
      <c r="I17" s="31"/>
      <c r="J17" s="31">
        <f>SUM(Tabela1[[#This Row],[MOD]:[Bônus Habilidade]])-IF(Tabela1[[#This Row],[Penalidade de Armadura?]]="sim",Cavalado!$D$16,0)</f>
        <v>4</v>
      </c>
      <c r="K17" s="31" t="s">
        <v>134</v>
      </c>
      <c r="L17" s="31" t="s">
        <v>135</v>
      </c>
      <c r="M17" s="41" t="s">
        <v>135</v>
      </c>
      <c r="Q17" t="str">
        <f>IF(P17&gt;P18,"passou demais","")</f>
        <v/>
      </c>
    </row>
    <row r="18" ht="15" spans="2:13">
      <c r="B18" s="32" t="s">
        <v>157</v>
      </c>
      <c r="C18" s="33" t="s">
        <v>145</v>
      </c>
      <c r="D18" s="33">
        <f>VLOOKUP(C18,Cavalado!$B$3:$D$8,3,FALSE)</f>
        <v>0</v>
      </c>
      <c r="E18" s="33">
        <f>ROUNDDOWN(Cavalado!$G$2/2,0)</f>
        <v>4</v>
      </c>
      <c r="F18" s="33">
        <f>IF(Tabela1[[#This Row],[Treinada?]]="sim",VLOOKUP(Cavalado!$G$2,'uns dados aí'!$I$2:$K$22,2,TRUE),"")</f>
        <v>8</v>
      </c>
      <c r="G18" s="33"/>
      <c r="H18" s="33"/>
      <c r="I18" s="33"/>
      <c r="J18" s="33">
        <f>SUM(Tabela1[[#This Row],[MOD]:[Bônus Habilidade]])-IF(Tabela1[[#This Row],[Penalidade de Armadura?]]="sim",Cavalado!$D$16,0)</f>
        <v>12</v>
      </c>
      <c r="K18" s="33" t="s">
        <v>136</v>
      </c>
      <c r="L18" s="33" t="s">
        <v>135</v>
      </c>
      <c r="M18" s="44" t="s">
        <v>135</v>
      </c>
    </row>
    <row r="19" ht="14.25" spans="2:13">
      <c r="B19" s="30" t="s">
        <v>158</v>
      </c>
      <c r="C19" s="31" t="s">
        <v>138</v>
      </c>
      <c r="D19" s="31">
        <f>VLOOKUP(C19,Cavalado!$B$3:$D$8,3,FALSE)</f>
        <v>0</v>
      </c>
      <c r="E19" s="31">
        <f>ROUNDDOWN(Cavalado!$G$2/2,0)</f>
        <v>4</v>
      </c>
      <c r="F19" s="31" t="str">
        <f>IF(Tabela1[[#This Row],[Treinada?]]="sim",VLOOKUP(Cavalado!$G$2,'uns dados aí'!$I$2:$K$22,2,TRUE),"")</f>
        <v/>
      </c>
      <c r="G19" s="31"/>
      <c r="H19" s="31"/>
      <c r="I19" s="31"/>
      <c r="J19" s="31">
        <f>SUM(Tabela1[[#This Row],[MOD]:[Bônus Habilidade]])-IF(Tabela1[[#This Row],[Penalidade de Armadura?]]="sim",Cavalado!$D$16,0)</f>
        <v>4</v>
      </c>
      <c r="K19" s="31" t="s">
        <v>134</v>
      </c>
      <c r="L19" s="31" t="s">
        <v>136</v>
      </c>
      <c r="M19" s="41" t="s">
        <v>135</v>
      </c>
    </row>
    <row r="20" ht="15" spans="2:13">
      <c r="B20" s="32" t="s">
        <v>159</v>
      </c>
      <c r="C20" s="33" t="s">
        <v>133</v>
      </c>
      <c r="D20" s="33">
        <f>VLOOKUP(C20,Cavalado!$B$3:$D$8,3,FALSE)</f>
        <v>2</v>
      </c>
      <c r="E20" s="33">
        <f>ROUNDDOWN(Cavalado!$G$2/2,0)</f>
        <v>4</v>
      </c>
      <c r="F20" s="33" t="str">
        <f>IF(Tabela1[[#This Row],[Treinada?]]="sim",VLOOKUP(Cavalado!$G$2,'uns dados aí'!$I$2:$K$22,2,TRUE),"")</f>
        <v/>
      </c>
      <c r="G20" s="33"/>
      <c r="H20" s="33"/>
      <c r="I20" s="33"/>
      <c r="J20" s="33">
        <f>SUM(Tabela1[[#This Row],[MOD]:[Bônus Habilidade]])-IF(Tabela1[[#This Row],[Penalidade de Armadura?]]="sim",Cavalado!$D$16,0)</f>
        <v>-4</v>
      </c>
      <c r="K20" s="33" t="s">
        <v>134</v>
      </c>
      <c r="L20" s="33" t="s">
        <v>136</v>
      </c>
      <c r="M20" s="44" t="s">
        <v>136</v>
      </c>
    </row>
    <row r="21" ht="14.25" spans="2:13">
      <c r="B21" s="30" t="s">
        <v>76</v>
      </c>
      <c r="C21" s="31" t="s">
        <v>140</v>
      </c>
      <c r="D21" s="31">
        <f>VLOOKUP(C21,Cavalado!$B$3:$D$8,3,FALSE)</f>
        <v>5</v>
      </c>
      <c r="E21" s="31">
        <f>ROUNDDOWN(Cavalado!$G$2/2,0)</f>
        <v>4</v>
      </c>
      <c r="F21" s="31">
        <f>IF(Tabela1[[#This Row],[Treinada?]]="sim",VLOOKUP(Cavalado!$G$2,'uns dados aí'!$I$2:$K$22,2,TRUE),"")</f>
        <v>8</v>
      </c>
      <c r="G21" s="31"/>
      <c r="H21" s="31"/>
      <c r="I21" s="31"/>
      <c r="J21" s="31">
        <f>SUM(Tabela1[[#This Row],[MOD]:[Bônus Habilidade]])-IF(Tabela1[[#This Row],[Penalidade de Armadura?]]="sim",Cavalado!$D$16,0)</f>
        <v>17</v>
      </c>
      <c r="K21" s="31" t="s">
        <v>136</v>
      </c>
      <c r="L21" s="31" t="s">
        <v>135</v>
      </c>
      <c r="M21" s="41" t="s">
        <v>135</v>
      </c>
    </row>
    <row r="22" ht="15" spans="2:13">
      <c r="B22" s="32" t="s">
        <v>160</v>
      </c>
      <c r="C22" s="33" t="s">
        <v>145</v>
      </c>
      <c r="D22" s="33">
        <f>VLOOKUP(C22,Cavalado!$B$3:$D$8,3,FALSE)</f>
        <v>0</v>
      </c>
      <c r="E22" s="33">
        <f>ROUNDDOWN(Cavalado!$G$2/2,0)</f>
        <v>4</v>
      </c>
      <c r="F22" s="33">
        <f>IF(Tabela1[[#This Row],[Treinada?]]="sim",VLOOKUP(Cavalado!$G$2,'uns dados aí'!$I$2:$K$22,2,TRUE),"")</f>
        <v>8</v>
      </c>
      <c r="G22" s="33">
        <v>2</v>
      </c>
      <c r="H22" s="33"/>
      <c r="I22" s="33"/>
      <c r="J22" s="33">
        <f>SUM(Tabela1[[#This Row],[MOD]:[Bônus Habilidade]])-IF(Tabela1[[#This Row],[Penalidade de Armadura?]]="sim",Cavalado!$D$16,0)</f>
        <v>14</v>
      </c>
      <c r="K22" s="33" t="s">
        <v>136</v>
      </c>
      <c r="L22" s="33" t="s">
        <v>136</v>
      </c>
      <c r="M22" s="44" t="s">
        <v>135</v>
      </c>
    </row>
    <row r="23" ht="14.25" spans="2:13">
      <c r="B23" s="30" t="s">
        <v>161</v>
      </c>
      <c r="C23" s="31" t="s">
        <v>145</v>
      </c>
      <c r="D23" s="31">
        <f>VLOOKUP(C23,Cavalado!$B$3:$D$8,3,FALSE)</f>
        <v>0</v>
      </c>
      <c r="E23" s="31">
        <f>ROUNDDOWN(Cavalado!$G$2/2,0)</f>
        <v>4</v>
      </c>
      <c r="F23" s="31" t="str">
        <f>IF(Tabela1[[#This Row],[Treinada?]]="sim",VLOOKUP(Cavalado!$G$2,'uns dados aí'!$I$2:$K$22,2,TRUE),"")</f>
        <v/>
      </c>
      <c r="G23" s="31"/>
      <c r="H23" s="31"/>
      <c r="I23" s="31"/>
      <c r="J23" s="31">
        <f>SUM(Tabela1[[#This Row],[MOD]:[Bônus Habilidade]])-IF(Tabela1[[#This Row],[Penalidade de Armadura?]]="sim",Cavalado!$D$16,0)</f>
        <v>4</v>
      </c>
      <c r="K23" s="31" t="s">
        <v>134</v>
      </c>
      <c r="L23" s="31" t="s">
        <v>136</v>
      </c>
      <c r="M23" s="41" t="s">
        <v>135</v>
      </c>
    </row>
    <row r="24" ht="15" spans="2:13">
      <c r="B24" s="32" t="s">
        <v>162</v>
      </c>
      <c r="C24" s="33" t="s">
        <v>145</v>
      </c>
      <c r="D24" s="33">
        <f>VLOOKUP(C24,Cavalado!$B$3:$D$8,3,FALSE)</f>
        <v>0</v>
      </c>
      <c r="E24" s="33">
        <f>ROUNDDOWN(Cavalado!$G$2/2,0)</f>
        <v>4</v>
      </c>
      <c r="F24" s="33">
        <f>IF(Tabela1[[#This Row],[Treinada?]]="sim",VLOOKUP(Cavalado!$G$2,'uns dados aí'!$I$2:$K$22,2,TRUE),"")</f>
        <v>8</v>
      </c>
      <c r="G24" s="33"/>
      <c r="H24" s="33"/>
      <c r="I24" s="33"/>
      <c r="J24" s="33">
        <f>SUM(Tabela1[[#This Row],[MOD]:[Bônus Habilidade]])-IF(Tabela1[[#This Row],[Penalidade de Armadura?]]="sim",Cavalado!$D$16,0)</f>
        <v>12</v>
      </c>
      <c r="K24" s="33" t="s">
        <v>136</v>
      </c>
      <c r="L24" s="33" t="s">
        <v>136</v>
      </c>
      <c r="M24" s="44" t="s">
        <v>135</v>
      </c>
    </row>
    <row r="25" ht="14.25" spans="2:13">
      <c r="B25" s="30" t="s">
        <v>163</v>
      </c>
      <c r="C25" s="31" t="s">
        <v>145</v>
      </c>
      <c r="D25" s="31">
        <f>VLOOKUP(C25,Cavalado!$B$3:$D$8,3,FALSE)</f>
        <v>0</v>
      </c>
      <c r="E25" s="31">
        <f>ROUNDDOWN(Cavalado!$G$2/2,0)</f>
        <v>4</v>
      </c>
      <c r="F25" s="31">
        <f>IF(Tabela1[[#This Row],[Treinada?]]="sim",VLOOKUP(Cavalado!$G$2,'uns dados aí'!$I$2:$K$22,2,TRUE),"")</f>
        <v>8</v>
      </c>
      <c r="G25" s="31"/>
      <c r="H25" s="31"/>
      <c r="I25" s="31"/>
      <c r="J25" s="31">
        <f>SUM(Tabela1[[#This Row],[MOD]:[Bônus Habilidade]])-IF(Tabela1[[#This Row],[Penalidade de Armadura?]]="sim",Cavalado!$D$16,0)</f>
        <v>12</v>
      </c>
      <c r="K25" s="31" t="s">
        <v>136</v>
      </c>
      <c r="L25" s="31" t="s">
        <v>136</v>
      </c>
      <c r="M25" s="41" t="s">
        <v>135</v>
      </c>
    </row>
    <row r="26" ht="15" spans="2:13">
      <c r="B26" s="34" t="s">
        <v>164</v>
      </c>
      <c r="C26" s="33" t="s">
        <v>145</v>
      </c>
      <c r="D26" s="33">
        <f>VLOOKUP(C26,Cavalado!$B$3:$D$8,3,FALSE)</f>
        <v>0</v>
      </c>
      <c r="E26" s="33">
        <f>ROUNDDOWN(Cavalado!$G$2/2,0)</f>
        <v>4</v>
      </c>
      <c r="F26" s="33">
        <f>IF(Tabela1[[#This Row],[Treinada?]]="sim",VLOOKUP(Cavalado!$G$2,'uns dados aí'!$I$2:$K$22,2,TRUE),"")</f>
        <v>8</v>
      </c>
      <c r="G26" s="33"/>
      <c r="H26" s="33"/>
      <c r="I26" s="33"/>
      <c r="J26" s="33">
        <f>SUM(Tabela1[[#This Row],[MOD]:[Bônus Habilidade]])-IF(Tabela1[[#This Row],[Penalidade de Armadura?]]="sim",Cavalado!$D$16,0)</f>
        <v>12</v>
      </c>
      <c r="K26" s="33" t="s">
        <v>136</v>
      </c>
      <c r="L26" s="33" t="s">
        <v>136</v>
      </c>
      <c r="M26" s="44" t="s">
        <v>135</v>
      </c>
    </row>
    <row r="27" ht="14.25" spans="2:13">
      <c r="B27" s="30" t="s">
        <v>165</v>
      </c>
      <c r="C27" s="31" t="s">
        <v>147</v>
      </c>
      <c r="D27" s="31">
        <f>VLOOKUP(C27,Cavalado!$B$3:$D$8,3,FALSE)</f>
        <v>0</v>
      </c>
      <c r="E27" s="31">
        <f>ROUNDDOWN(Cavalado!$G$2/2,0)</f>
        <v>4</v>
      </c>
      <c r="F27" s="31">
        <f>IF(Tabela1[[#This Row],[Treinada?]]="sim",VLOOKUP(Cavalado!$G$2,'uns dados aí'!$I$2:$K$22,2,TRUE),"")</f>
        <v>8</v>
      </c>
      <c r="G27" s="31">
        <v>2</v>
      </c>
      <c r="H27" s="31"/>
      <c r="I27" s="31"/>
      <c r="J27" s="31">
        <f>SUM(Tabela1[[#This Row],[MOD]:[Bônus Habilidade]])-IF(Tabela1[[#This Row],[Penalidade de Armadura?]]="sim",Cavalado!$D$16,0)</f>
        <v>14</v>
      </c>
      <c r="K27" s="31" t="s">
        <v>136</v>
      </c>
      <c r="L27" s="31" t="s">
        <v>135</v>
      </c>
      <c r="M27" s="41" t="s">
        <v>135</v>
      </c>
    </row>
    <row r="28" ht="15" spans="2:13">
      <c r="B28" s="32" t="s">
        <v>166</v>
      </c>
      <c r="C28" s="33" t="s">
        <v>133</v>
      </c>
      <c r="D28" s="33">
        <f>VLOOKUP(C28,Cavalado!$B$3:$D$8,3,FALSE)</f>
        <v>2</v>
      </c>
      <c r="E28" s="33">
        <f>ROUNDDOWN(Cavalado!$G$2/2,0)</f>
        <v>4</v>
      </c>
      <c r="F28" s="33" t="str">
        <f>IF(Tabela1[[#This Row],[Treinada?]]="sim",VLOOKUP(Cavalado!$G$2,'uns dados aí'!$I$2:$K$22,2,TRUE),"")</f>
        <v/>
      </c>
      <c r="G28" s="33"/>
      <c r="H28" s="33"/>
      <c r="I28" s="33"/>
      <c r="J28" s="33">
        <f>SUM(Tabela1[[#This Row],[MOD]:[Bônus Habilidade]])-IF(Tabela1[[#This Row],[Penalidade de Armadura?]]="sim",Cavalado!$D$16,0)</f>
        <v>6</v>
      </c>
      <c r="K28" s="33" t="s">
        <v>134</v>
      </c>
      <c r="L28" s="33" t="s">
        <v>136</v>
      </c>
      <c r="M28" s="44" t="s">
        <v>135</v>
      </c>
    </row>
    <row r="29" ht="14.25" spans="2:13">
      <c r="B29" s="30" t="s">
        <v>167</v>
      </c>
      <c r="C29" s="31" t="s">
        <v>133</v>
      </c>
      <c r="D29" s="31">
        <f>VLOOKUP(C29,Cavalado!$B$3:$D$8,3,FALSE)</f>
        <v>2</v>
      </c>
      <c r="E29" s="31">
        <f>ROUNDDOWN(Cavalado!$G$2/2,0)</f>
        <v>4</v>
      </c>
      <c r="F29" s="31" t="str">
        <f>IF(Tabela1[[#This Row],[Treinada?]]="sim",VLOOKUP(Cavalado!$G$2,'uns dados aí'!$I$2:$K$22,2,TRUE),"")</f>
        <v/>
      </c>
      <c r="G29" s="31"/>
      <c r="H29" s="31"/>
      <c r="I29" s="31"/>
      <c r="J29" s="31">
        <f>SUM(Tabela1[[#This Row],[MOD]:[Bônus Habilidade]])-IF(Tabela1[[#This Row],[Penalidade de Armadura?]]="sim",Cavalado!$D$16,0)</f>
        <v>6</v>
      </c>
      <c r="K29" s="31" t="s">
        <v>134</v>
      </c>
      <c r="L29" s="31" t="s">
        <v>135</v>
      </c>
      <c r="M29" s="41" t="s">
        <v>135</v>
      </c>
    </row>
    <row r="30" ht="15" spans="2:13">
      <c r="B30" s="32" t="s">
        <v>168</v>
      </c>
      <c r="C30" s="33" t="s">
        <v>133</v>
      </c>
      <c r="D30" s="33">
        <f>VLOOKUP(C30,Cavalado!$B$3:$D$8,3,FALSE)</f>
        <v>2</v>
      </c>
      <c r="E30" s="33">
        <f>ROUNDDOWN(Cavalado!$G$2/2,0)</f>
        <v>4</v>
      </c>
      <c r="F30" s="33">
        <f>IF(Tabela1[[#This Row],[Treinada?]]="sim",VLOOKUP(Cavalado!$G$2,'uns dados aí'!$I$2:$K$22,2,TRUE),"")</f>
        <v>8</v>
      </c>
      <c r="G30" s="33"/>
      <c r="H30" s="33"/>
      <c r="I30" s="33"/>
      <c r="J30" s="33">
        <f>SUM(Tabela1[[#This Row],[MOD]:[Bônus Habilidade]])-IF(Tabela1[[#This Row],[Penalidade de Armadura?]]="sim",Cavalado!$D$16,0)</f>
        <v>14</v>
      </c>
      <c r="K30" s="33" t="s">
        <v>136</v>
      </c>
      <c r="L30" s="33" t="s">
        <v>135</v>
      </c>
      <c r="M30" s="44" t="s">
        <v>135</v>
      </c>
    </row>
    <row r="31" ht="14.25" spans="2:13">
      <c r="B31" s="30" t="s">
        <v>169</v>
      </c>
      <c r="C31" s="31" t="s">
        <v>147</v>
      </c>
      <c r="D31" s="31">
        <f>VLOOKUP(C31,Cavalado!$B$3:$D$8,3,FALSE)</f>
        <v>0</v>
      </c>
      <c r="E31" s="31">
        <f>ROUNDDOWN(Cavalado!$G$2/2,0)</f>
        <v>4</v>
      </c>
      <c r="F31" s="31" t="str">
        <f>IF(Tabela1[[#This Row],[Treinada?]]="sim",VLOOKUP(Cavalado!$G$2,'uns dados aí'!$I$2:$K$22,2,TRUE),"")</f>
        <v/>
      </c>
      <c r="G31" s="31"/>
      <c r="H31" s="31"/>
      <c r="I31" s="31"/>
      <c r="J31" s="31">
        <f>SUM(Tabela1[[#This Row],[MOD]:[Bônus Habilidade]])-IF(Tabela1[[#This Row],[Penalidade de Armadura?]]="sim",Cavalado!$D$16,0)</f>
        <v>4</v>
      </c>
      <c r="K31" s="31" t="s">
        <v>134</v>
      </c>
      <c r="L31" s="31" t="s">
        <v>136</v>
      </c>
      <c r="M31" s="41" t="s">
        <v>135</v>
      </c>
    </row>
    <row r="32" ht="15" spans="2:13">
      <c r="B32" s="32" t="s">
        <v>170</v>
      </c>
      <c r="C32" s="33" t="s">
        <v>147</v>
      </c>
      <c r="D32" s="33">
        <f>VLOOKUP(C32,Cavalado!$B$3:$D$8,3,FALSE)</f>
        <v>0</v>
      </c>
      <c r="E32" s="33">
        <f>ROUNDDOWN(Cavalado!$G$2/2,0)</f>
        <v>4</v>
      </c>
      <c r="F32" s="33" t="str">
        <f>IF(Tabela1[[#This Row],[Treinada?]]="sim",VLOOKUP(Cavalado!$G$2,'uns dados aí'!$I$2:$K$22,2,TRUE),"")</f>
        <v/>
      </c>
      <c r="G32" s="33"/>
      <c r="H32" s="33"/>
      <c r="I32" s="33"/>
      <c r="J32" s="33">
        <f>SUM(Tabela1[[#This Row],[MOD]:[Bônus Habilidade]])-IF(Tabela1[[#This Row],[Penalidade de Armadura?]]="sim",Cavalado!$D$16,0)</f>
        <v>4</v>
      </c>
      <c r="K32" s="33" t="s">
        <v>134</v>
      </c>
      <c r="L32" s="33" t="s">
        <v>135</v>
      </c>
      <c r="M32" s="44" t="s">
        <v>135</v>
      </c>
    </row>
    <row r="33" ht="14.25" spans="2:13">
      <c r="B33" s="35" t="s">
        <v>171</v>
      </c>
      <c r="C33" s="36" t="s">
        <v>147</v>
      </c>
      <c r="D33" s="36">
        <f>VLOOKUP(C33,Cavalado!$B$3:$D$8,3,FALSE)</f>
        <v>0</v>
      </c>
      <c r="E33" s="36">
        <f>ROUNDDOWN(Cavalado!$G$2/2,0)</f>
        <v>4</v>
      </c>
      <c r="F33" s="31">
        <f>IF(Tabela1[[#This Row],[Treinada?]]="sim",VLOOKUP(Cavalado!$G$2,'uns dados aí'!$I$2:$K$22,2,TRUE),"")</f>
        <v>8</v>
      </c>
      <c r="G33" s="36"/>
      <c r="H33" s="36"/>
      <c r="I33" s="36"/>
      <c r="J33" s="36">
        <f>SUM(Tabela1[[#This Row],[MOD]:[Bônus Habilidade]])-IF(Tabela1[[#This Row],[Penalidade de Armadura?]]="sim",Cavalado!$D$16,0)</f>
        <v>12</v>
      </c>
      <c r="K33" s="36" t="s">
        <v>136</v>
      </c>
      <c r="L33" s="36" t="s">
        <v>135</v>
      </c>
      <c r="M33" s="51" t="s">
        <v>135</v>
      </c>
    </row>
  </sheetData>
  <mergeCells count="2">
    <mergeCell ref="O2:P2"/>
    <mergeCell ref="O7:P7"/>
  </mergeCells>
  <pageMargins left="0.511811024" right="0.511811024" top="0.787401575" bottom="0.787401575" header="0.31496062" footer="0.31496062"/>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33"/>
  <sheetViews>
    <sheetView workbookViewId="0">
      <selection activeCell="O24" sqref="O24"/>
    </sheetView>
  </sheetViews>
  <sheetFormatPr defaultColWidth="9" defaultRowHeight="13.5"/>
  <cols>
    <col min="2" max="2" width="22" customWidth="1"/>
    <col min="3" max="3" width="9.625" customWidth="1"/>
    <col min="4" max="4" width="10.625" customWidth="1"/>
    <col min="5" max="5" width="13.25" customWidth="1"/>
    <col min="6" max="7" width="11.375" customWidth="1"/>
    <col min="8" max="8" width="11.125" customWidth="1"/>
    <col min="9" max="9" width="21.375" customWidth="1"/>
    <col min="10" max="10" width="10.125" customWidth="1"/>
    <col min="11" max="11" width="13.875" customWidth="1"/>
    <col min="12" max="12" width="21.375" customWidth="1"/>
    <col min="13" max="13" width="26.75" customWidth="1"/>
    <col min="14" max="14" width="9.875" customWidth="1"/>
    <col min="15" max="15" width="12.625" customWidth="1"/>
  </cols>
  <sheetData>
    <row r="1" ht="14.25"/>
    <row r="2" ht="15" customHeight="1" spans="2:16">
      <c r="B2" s="28" t="s">
        <v>123</v>
      </c>
      <c r="C2" s="29" t="s">
        <v>124</v>
      </c>
      <c r="D2" s="29" t="s">
        <v>1</v>
      </c>
      <c r="E2" s="29" t="s">
        <v>125</v>
      </c>
      <c r="F2" s="29" t="s">
        <v>126</v>
      </c>
      <c r="G2" s="29" t="s">
        <v>41</v>
      </c>
      <c r="H2" s="29" t="s">
        <v>24</v>
      </c>
      <c r="I2" s="29" t="s">
        <v>127</v>
      </c>
      <c r="J2" s="29" t="s">
        <v>75</v>
      </c>
      <c r="K2" s="37" t="s">
        <v>128</v>
      </c>
      <c r="L2" s="37" t="s">
        <v>129</v>
      </c>
      <c r="M2" s="38" t="s">
        <v>130</v>
      </c>
      <c r="O2" s="39" t="s">
        <v>131</v>
      </c>
      <c r="P2" s="40"/>
    </row>
    <row r="3" ht="14.25" spans="2:16">
      <c r="B3" s="30" t="s">
        <v>132</v>
      </c>
      <c r="C3" s="31" t="s">
        <v>133</v>
      </c>
      <c r="D3" s="31">
        <f>VLOOKUP(C3,Cavalado!$B$3:$D$8,3,FALSE)</f>
        <v>2</v>
      </c>
      <c r="E3" s="31">
        <f>VLOOKUP(Cavalado!$G$2,'uns dados aí'!$I$3:$K$22,2,FALSE)</f>
        <v>8</v>
      </c>
      <c r="F3" s="31" t="str">
        <f>IF(Tabela14[[#This Row],[Treinada?]]="sim",VLOOKUP(Cavalado!$G$2,'uns dados aí'!$E$2:$F$4,2,TRUE),"")</f>
        <v/>
      </c>
      <c r="G3" s="31"/>
      <c r="H3" s="31"/>
      <c r="I3" s="31"/>
      <c r="J3" s="31">
        <f>SUM(Tabela14[[#This Row],[MOD]:[Bônus Habilidade]])-IF(Tabela14[[#This Row],[Penalidade de Armadura?]]="sim",Cavalado!D16,0)</f>
        <v>0</v>
      </c>
      <c r="K3" s="31" t="s">
        <v>134</v>
      </c>
      <c r="L3" s="31" t="s">
        <v>135</v>
      </c>
      <c r="M3" s="41" t="s">
        <v>136</v>
      </c>
      <c r="O3" s="42" t="s">
        <v>34</v>
      </c>
      <c r="P3" s="43">
        <v>2</v>
      </c>
    </row>
    <row r="4" ht="15" spans="2:16">
      <c r="B4" s="32" t="s">
        <v>137</v>
      </c>
      <c r="C4" s="33" t="s">
        <v>138</v>
      </c>
      <c r="D4" s="33">
        <f>VLOOKUP(C4,Cavalado!$B$3:$D$8,3,FALSE)</f>
        <v>0</v>
      </c>
      <c r="E4" s="33">
        <f>VLOOKUP(Cavalado!$G$2,'uns dados aí'!$I$3:$K$22,2,FALSE)</f>
        <v>8</v>
      </c>
      <c r="F4" s="33" t="str">
        <f>IF(Tabela14[[#This Row],[Treinada?]]="sim",VLOOKUP(Cavalado!$G$2,'uns dados aí'!$E$2:$F$4,2,TRUE),"")</f>
        <v/>
      </c>
      <c r="G4" s="33"/>
      <c r="H4" s="33"/>
      <c r="I4" s="33"/>
      <c r="J4" s="33">
        <f>SUM(Tabela14[[#This Row],[MOD]:[Bônus Habilidade]])-IF(Tabela14[[#This Row],[Penalidade de Armadura?]]="sim",Cavalado!D17,0)</f>
        <v>8</v>
      </c>
      <c r="K4" s="33" t="s">
        <v>134</v>
      </c>
      <c r="L4" s="33" t="s">
        <v>136</v>
      </c>
      <c r="M4" s="44" t="s">
        <v>135</v>
      </c>
      <c r="O4" s="45" t="s">
        <v>57</v>
      </c>
      <c r="P4" s="46">
        <v>4</v>
      </c>
    </row>
    <row r="5" ht="15" spans="2:16">
      <c r="B5" s="30" t="s">
        <v>139</v>
      </c>
      <c r="C5" s="31" t="s">
        <v>140</v>
      </c>
      <c r="D5" s="31">
        <f>VLOOKUP(C5,Cavalado!$B$3:$D$8,3,FALSE)</f>
        <v>5</v>
      </c>
      <c r="E5" s="31">
        <f>VLOOKUP(Cavalado!$G$2,'uns dados aí'!$I$3:$K$22,2,FALSE)</f>
        <v>8</v>
      </c>
      <c r="F5" s="31" t="str">
        <f>IF(Tabela14[[#This Row],[Treinada?]]="sim",VLOOKUP(Cavalado!$G$2,'uns dados aí'!$E$2:$F$4,2,TRUE),"")</f>
        <v/>
      </c>
      <c r="G5" s="31"/>
      <c r="H5" s="31"/>
      <c r="I5" s="31"/>
      <c r="J5" s="31">
        <f>SUM(Tabela14[[#This Row],[MOD]:[Bônus Habilidade]])-IF(Tabela14[[#This Row],[Penalidade de Armadura?]]="sim",Poderes!C1,0)</f>
        <v>13</v>
      </c>
      <c r="K5" s="31" t="s">
        <v>134</v>
      </c>
      <c r="L5" s="31" t="s">
        <v>135</v>
      </c>
      <c r="M5" s="41" t="s">
        <v>135</v>
      </c>
      <c r="O5" s="47" t="s">
        <v>67</v>
      </c>
      <c r="P5" s="48">
        <v>6</v>
      </c>
    </row>
    <row r="6" ht="16.5" spans="2:13">
      <c r="B6" s="32" t="s">
        <v>141</v>
      </c>
      <c r="C6" s="33" t="s">
        <v>138</v>
      </c>
      <c r="D6" s="33">
        <f>VLOOKUP(C6,Cavalado!$B$3:$D$8,3,FALSE)</f>
        <v>0</v>
      </c>
      <c r="E6" s="33">
        <f>VLOOKUP(Cavalado!$G$2,'uns dados aí'!$I$3:$K$22,2,FALSE)</f>
        <v>8</v>
      </c>
      <c r="F6" s="33" t="str">
        <f>IF(Tabela14[[#This Row],[Treinada?]]="sim",VLOOKUP(Cavalado!$G$2,'uns dados aí'!$E$2:$F$4,2,TRUE),"")</f>
        <v/>
      </c>
      <c r="G6" s="33"/>
      <c r="H6" s="33"/>
      <c r="I6" s="33"/>
      <c r="J6" s="33">
        <f>SUM(Tabela14[[#This Row],[MOD]:[Bônus Habilidade]])-IF(Tabela14[[#This Row],[Penalidade de Armadura?]]="sim",Poderes!C2,0)</f>
        <v>8</v>
      </c>
      <c r="K6" s="33" t="s">
        <v>134</v>
      </c>
      <c r="L6" s="33" t="s">
        <v>135</v>
      </c>
      <c r="M6" s="44" t="s">
        <v>135</v>
      </c>
    </row>
    <row r="7" ht="15.75" customHeight="1" spans="2:16">
      <c r="B7" s="30" t="s">
        <v>142</v>
      </c>
      <c r="C7" s="31" t="s">
        <v>133</v>
      </c>
      <c r="D7" s="31">
        <f>VLOOKUP(C7,Cavalado!$B$3:$D$8,3,FALSE)</f>
        <v>2</v>
      </c>
      <c r="E7" s="31">
        <f>VLOOKUP(Cavalado!$G$2,'uns dados aí'!$I$3:$K$22,2,FALSE)</f>
        <v>8</v>
      </c>
      <c r="F7" s="31" t="str">
        <f>IF(Tabela14[[#This Row],[Treinada?]]="sim",VLOOKUP(Cavalado!$G$2,'uns dados aí'!$E$2:$F$4,2,TRUE),"")</f>
        <v/>
      </c>
      <c r="G7" s="31"/>
      <c r="H7" s="31"/>
      <c r="I7" s="31"/>
      <c r="J7" s="31">
        <f>SUM(Tabela14[[#This Row],[MOD]:[Bônus Habilidade]])-IF(Tabela14[[#This Row],[Penalidade de Armadura?]]="sim",Poderes!C3,0)</f>
        <v>10</v>
      </c>
      <c r="K7" s="31" t="s">
        <v>134</v>
      </c>
      <c r="L7" s="31" t="s">
        <v>135</v>
      </c>
      <c r="M7" s="41" t="s">
        <v>135</v>
      </c>
      <c r="O7" s="39" t="s">
        <v>143</v>
      </c>
      <c r="P7" s="40"/>
    </row>
    <row r="8" ht="15" customHeight="1" spans="2:16">
      <c r="B8" s="32" t="s">
        <v>144</v>
      </c>
      <c r="C8" s="33" t="s">
        <v>145</v>
      </c>
      <c r="D8" s="33">
        <f>VLOOKUP(C8,Cavalado!$B$3:$D$8,3,FALSE)</f>
        <v>0</v>
      </c>
      <c r="E8" s="33">
        <f>VLOOKUP(Cavalado!$G$2,'uns dados aí'!$I$3:$K$22,2,FALSE)</f>
        <v>8</v>
      </c>
      <c r="F8" s="33">
        <f>IF(Tabela14[[#This Row],[Treinada?]]="sim",VLOOKUP(Cavalado!$G$2,'uns dados aí'!$E$2:$F$4,2,TRUE),"")</f>
        <v>4</v>
      </c>
      <c r="G8" s="33"/>
      <c r="H8" s="33"/>
      <c r="I8" s="33"/>
      <c r="J8" s="33">
        <f>SUM(Tabela14[[#This Row],[MOD]:[Bônus Habilidade]])-IF(Tabela14[[#This Row],[Penalidade de Armadura?]]="sim",Poderes!C4,0)</f>
        <v>12</v>
      </c>
      <c r="K8" s="33" t="s">
        <v>136</v>
      </c>
      <c r="L8" s="33" t="s">
        <v>136</v>
      </c>
      <c r="M8" s="44" t="s">
        <v>135</v>
      </c>
      <c r="O8" s="42" t="s">
        <v>4</v>
      </c>
      <c r="P8" s="43">
        <f>VLOOKUP(O8,'uns dados aí'!$B$16:$E$22,4,FALSE)</f>
        <v>4</v>
      </c>
    </row>
    <row r="9" ht="15" spans="2:16">
      <c r="B9" s="30" t="s">
        <v>146</v>
      </c>
      <c r="C9" s="31" t="s">
        <v>147</v>
      </c>
      <c r="D9" s="31">
        <f>VLOOKUP(C9,Cavalado!$B$3:$D$8,3,FALSE)</f>
        <v>0</v>
      </c>
      <c r="E9" s="31">
        <f>VLOOKUP(Cavalado!$G$2,'uns dados aí'!$I$3:$K$22,2,FALSE)</f>
        <v>8</v>
      </c>
      <c r="F9" s="31">
        <f>IF(Tabela14[[#This Row],[Treinada?]]="sim",VLOOKUP(Cavalado!$G$2,'uns dados aí'!$E$2:$F$4,2,TRUE),"")</f>
        <v>4</v>
      </c>
      <c r="G9" s="31"/>
      <c r="H9" s="31"/>
      <c r="I9" s="31"/>
      <c r="J9" s="31">
        <f>SUM(Tabela14[[#This Row],[MOD]:[Bônus Habilidade]])-IF(Tabela14[[#This Row],[Penalidade de Armadura?]]="sim",Poderes!C5,0)</f>
        <v>12</v>
      </c>
      <c r="K9" s="31" t="s">
        <v>136</v>
      </c>
      <c r="L9" s="31" t="s">
        <v>135</v>
      </c>
      <c r="M9" s="41" t="s">
        <v>135</v>
      </c>
      <c r="O9" s="45" t="s">
        <v>9</v>
      </c>
      <c r="P9" s="46">
        <f>VLOOKUP(O9,'uns dados aí'!$B$16:$E$22,4,FALSE)</f>
        <v>0</v>
      </c>
    </row>
    <row r="10" ht="15" spans="2:16">
      <c r="B10" s="32" t="s">
        <v>148</v>
      </c>
      <c r="C10" s="33" t="s">
        <v>138</v>
      </c>
      <c r="D10" s="33">
        <f>VLOOKUP(C10,Cavalado!$B$3:$D$8,3,FALSE)</f>
        <v>0</v>
      </c>
      <c r="E10" s="33">
        <f>VLOOKUP(Cavalado!$G$2,'uns dados aí'!$I$3:$K$22,2,FALSE)</f>
        <v>8</v>
      </c>
      <c r="F10" s="33" t="str">
        <f>IF(Tabela14[[#This Row],[Treinada?]]="sim",VLOOKUP(Cavalado!$G$2,'uns dados aí'!$E$2:$F$4,2,TRUE),"")</f>
        <v/>
      </c>
      <c r="G10" s="33"/>
      <c r="H10" s="33"/>
      <c r="I10" s="33"/>
      <c r="J10" s="33">
        <f>SUM(Tabela14[[#This Row],[MOD]:[Bônus Habilidade]])-IF(Tabela14[[#This Row],[Penalidade de Armadura?]]="sim",Poderes!C6,0)</f>
        <v>8</v>
      </c>
      <c r="K10" s="33" t="s">
        <v>134</v>
      </c>
      <c r="L10" s="33" t="s">
        <v>135</v>
      </c>
      <c r="M10" s="44" t="s">
        <v>135</v>
      </c>
      <c r="O10" s="42" t="s">
        <v>10</v>
      </c>
      <c r="P10" s="43">
        <f>VLOOKUP(O10,'uns dados aí'!$B$16:$E$22,4,FALSE)</f>
        <v>2</v>
      </c>
    </row>
    <row r="11" ht="15" spans="2:16">
      <c r="B11" s="30" t="s">
        <v>149</v>
      </c>
      <c r="C11" s="31" t="s">
        <v>138</v>
      </c>
      <c r="D11" s="31">
        <f>VLOOKUP(C11,Cavalado!$B$3:$D$8,3,FALSE)</f>
        <v>0</v>
      </c>
      <c r="E11" s="31">
        <f>VLOOKUP(Cavalado!$G$2,'uns dados aí'!$I$3:$K$22,2,FALSE)</f>
        <v>8</v>
      </c>
      <c r="F11" s="31" t="str">
        <f>IF(Tabela14[[#This Row],[Treinada?]]="sim",VLOOKUP(Cavalado!$G$2,'uns dados aí'!$E$2:$F$4,2,TRUE),"")</f>
        <v/>
      </c>
      <c r="G11" s="31"/>
      <c r="H11" s="31"/>
      <c r="I11" s="31"/>
      <c r="J11" s="31">
        <f>SUM(Tabela14[[#This Row],[MOD]:[Bônus Habilidade]])-IF(Tabela14[[#This Row],[Penalidade de Armadura?]]="sim",Poderes!C7,0)</f>
        <v>8</v>
      </c>
      <c r="K11" s="31" t="s">
        <v>134</v>
      </c>
      <c r="L11" s="31" t="s">
        <v>135</v>
      </c>
      <c r="M11" s="41" t="s">
        <v>135</v>
      </c>
      <c r="O11" s="45" t="s">
        <v>12</v>
      </c>
      <c r="P11" s="46">
        <f>VLOOKUP(O11,'uns dados aí'!$B$16:$E$22,4,FALSE)</f>
        <v>0</v>
      </c>
    </row>
    <row r="12" ht="15" spans="2:16">
      <c r="B12" s="32" t="s">
        <v>150</v>
      </c>
      <c r="C12" s="33" t="s">
        <v>151</v>
      </c>
      <c r="D12" s="33">
        <f>VLOOKUP(C12,Cavalado!$B$3:$D$8,3,FALSE)</f>
        <v>4</v>
      </c>
      <c r="E12" s="33">
        <f>VLOOKUP(Cavalado!$G$2,'uns dados aí'!$I$3:$K$22,2,FALSE)</f>
        <v>8</v>
      </c>
      <c r="F12" s="33" t="str">
        <f>IF(Tabela14[[#This Row],[Treinada?]]="sim",VLOOKUP(Cavalado!$G$2,'uns dados aí'!$E$2:$F$4,2,TRUE),"")</f>
        <v/>
      </c>
      <c r="G12" s="33"/>
      <c r="H12" s="33"/>
      <c r="I12" s="33"/>
      <c r="J12" s="33">
        <f>SUM(Tabela14[[#This Row],[MOD]:[Bônus Habilidade]])-IF(Tabela14[[#This Row],[Penalidade de Armadura?]]="sim",Poderes!C8,0)</f>
        <v>12</v>
      </c>
      <c r="K12" s="33" t="s">
        <v>134</v>
      </c>
      <c r="L12" s="33" t="s">
        <v>135</v>
      </c>
      <c r="M12" s="44" t="s">
        <v>135</v>
      </c>
      <c r="O12" s="42" t="s">
        <v>14</v>
      </c>
      <c r="P12" s="43">
        <f>VLOOKUP(O12,'uns dados aí'!$B$16:$E$22,4,FALSE)</f>
        <v>-2</v>
      </c>
    </row>
    <row r="13" ht="15.75" spans="2:16">
      <c r="B13" s="30" t="s">
        <v>152</v>
      </c>
      <c r="C13" s="31" t="s">
        <v>133</v>
      </c>
      <c r="D13" s="31">
        <f>VLOOKUP(C13,Cavalado!$B$3:$D$8,3,FALSE)</f>
        <v>2</v>
      </c>
      <c r="E13" s="31">
        <f>VLOOKUP(Cavalado!$G$2,'uns dados aí'!$I$3:$K$22,2,FALSE)</f>
        <v>8</v>
      </c>
      <c r="F13" s="31" t="str">
        <f>IF(Tabela14[[#This Row],[Treinada?]]="sim",VLOOKUP(Cavalado!$G$2,'uns dados aí'!$E$2:$F$4,2,TRUE),"")</f>
        <v/>
      </c>
      <c r="G13" s="31"/>
      <c r="H13" s="31"/>
      <c r="I13" s="31"/>
      <c r="J13" s="31">
        <f>SUM(Tabela14[[#This Row],[MOD]:[Bônus Habilidade]])-IF(Tabela14[[#This Row],[Penalidade de Armadura?]]="sim",Poderes!C9,0)</f>
        <v>10</v>
      </c>
      <c r="K13" s="31" t="s">
        <v>134</v>
      </c>
      <c r="L13" s="31" t="s">
        <v>135</v>
      </c>
      <c r="M13" s="41" t="s">
        <v>136</v>
      </c>
      <c r="O13" s="49" t="s">
        <v>16</v>
      </c>
      <c r="P13" s="50">
        <f>VLOOKUP(O13,'uns dados aí'!$B$16:$E$22,4,FALSE)</f>
        <v>0</v>
      </c>
    </row>
    <row r="14" ht="15.75" spans="2:13">
      <c r="B14" s="32" t="s">
        <v>153</v>
      </c>
      <c r="C14" s="33" t="s">
        <v>145</v>
      </c>
      <c r="D14" s="33">
        <f>VLOOKUP(C14,Cavalado!$B$3:$D$8,3,FALSE)</f>
        <v>0</v>
      </c>
      <c r="E14" s="33">
        <f>VLOOKUP(Cavalado!$G$2,'uns dados aí'!$I$3:$K$22,2,FALSE)</f>
        <v>8</v>
      </c>
      <c r="F14" s="33">
        <f>IF(Tabela14[[#This Row],[Treinada?]]="sim",VLOOKUP(Cavalado!$G$2,'uns dados aí'!$E$2:$F$4,2,TRUE),"")</f>
        <v>4</v>
      </c>
      <c r="G14" s="33"/>
      <c r="H14" s="33">
        <v>1</v>
      </c>
      <c r="I14" s="33"/>
      <c r="J14" s="33">
        <f>SUM(Tabela14[[#This Row],[MOD]:[Bônus Habilidade]])-IF(Tabela14[[#This Row],[Penalidade de Armadura?]]="sim",Poderes!C10,0)</f>
        <v>13</v>
      </c>
      <c r="K14" s="33" t="s">
        <v>136</v>
      </c>
      <c r="L14" s="33" t="s">
        <v>136</v>
      </c>
      <c r="M14" s="44" t="s">
        <v>135</v>
      </c>
    </row>
    <row r="15" ht="14.25" spans="2:13">
      <c r="B15" s="30" t="s">
        <v>154</v>
      </c>
      <c r="C15" s="31" t="s">
        <v>133</v>
      </c>
      <c r="D15" s="31">
        <f>VLOOKUP(C15,Cavalado!$B$3:$D$8,3,FALSE)</f>
        <v>2</v>
      </c>
      <c r="E15" s="31">
        <f>VLOOKUP(Cavalado!$G$2,'uns dados aí'!$I$3:$K$22,2,FALSE)</f>
        <v>8</v>
      </c>
      <c r="F15" s="31" t="str">
        <f>IF(Tabela14[[#This Row],[Treinada?]]="sim",VLOOKUP(Cavalado!$G$2,'uns dados aí'!$E$2:$F$4,2,TRUE),"")</f>
        <v/>
      </c>
      <c r="G15" s="31"/>
      <c r="H15" s="31"/>
      <c r="I15" s="31"/>
      <c r="J15" s="31">
        <f>SUM(Tabela14[[#This Row],[MOD]:[Bônus Habilidade]])-IF(Tabela14[[#This Row],[Penalidade de Armadura?]]="sim",Poderes!C11,0)</f>
        <v>10</v>
      </c>
      <c r="K15" s="31" t="s">
        <v>134</v>
      </c>
      <c r="L15" s="31" t="s">
        <v>135</v>
      </c>
      <c r="M15" s="41" t="s">
        <v>135</v>
      </c>
    </row>
    <row r="16" ht="15" spans="2:13">
      <c r="B16" s="32" t="s">
        <v>155</v>
      </c>
      <c r="C16" s="33" t="s">
        <v>138</v>
      </c>
      <c r="D16" s="33">
        <f>VLOOKUP(C16,Cavalado!$B$3:$D$8,3,FALSE)</f>
        <v>0</v>
      </c>
      <c r="E16" s="33">
        <f>VLOOKUP(Cavalado!$G$2,'uns dados aí'!$I$3:$K$22,2,FALSE)</f>
        <v>8</v>
      </c>
      <c r="F16" s="33" t="str">
        <f>IF(Tabela14[[#This Row],[Treinada?]]="sim",VLOOKUP(Cavalado!$G$2,'uns dados aí'!$E$2:$F$4,2,TRUE),"")</f>
        <v/>
      </c>
      <c r="G16" s="33"/>
      <c r="H16" s="33"/>
      <c r="I16" s="33"/>
      <c r="J16" s="33">
        <f>SUM(Tabela14[[#This Row],[MOD]:[Bônus Habilidade]])-IF(Tabela14[[#This Row],[Penalidade de Armadura?]]="sim",Poderes!C12,0)</f>
        <v>8</v>
      </c>
      <c r="K16" s="33" t="s">
        <v>134</v>
      </c>
      <c r="L16" s="33" t="s">
        <v>135</v>
      </c>
      <c r="M16" s="44" t="s">
        <v>135</v>
      </c>
    </row>
    <row r="17" ht="14.25" spans="2:13">
      <c r="B17" s="30" t="s">
        <v>156</v>
      </c>
      <c r="C17" s="31" t="s">
        <v>147</v>
      </c>
      <c r="D17" s="31">
        <f>VLOOKUP(C17,Cavalado!$B$3:$D$8,3,FALSE)</f>
        <v>0</v>
      </c>
      <c r="E17" s="31">
        <f>VLOOKUP(Cavalado!$G$2,'uns dados aí'!$I$3:$K$22,2,FALSE)</f>
        <v>8</v>
      </c>
      <c r="F17" s="31" t="str">
        <f>IF(Tabela14[[#This Row],[Treinada?]]="sim",VLOOKUP(Cavalado!$G$2,'uns dados aí'!$E$2:$F$4,2,TRUE),"")</f>
        <v/>
      </c>
      <c r="G17" s="31"/>
      <c r="H17" s="31"/>
      <c r="I17" s="31"/>
      <c r="J17" s="31">
        <f>SUM(Tabela14[[#This Row],[MOD]:[Bônus Habilidade]])-IF(Tabela14[[#This Row],[Penalidade de Armadura?]]="sim",Poderes!C13,0)</f>
        <v>8</v>
      </c>
      <c r="K17" s="31" t="s">
        <v>134</v>
      </c>
      <c r="L17" s="31" t="s">
        <v>135</v>
      </c>
      <c r="M17" s="41" t="s">
        <v>135</v>
      </c>
    </row>
    <row r="18" ht="15" spans="2:13">
      <c r="B18" s="32" t="s">
        <v>157</v>
      </c>
      <c r="C18" s="33" t="s">
        <v>145</v>
      </c>
      <c r="D18" s="33">
        <f>VLOOKUP(C18,Cavalado!$B$3:$D$8,3,FALSE)</f>
        <v>0</v>
      </c>
      <c r="E18" s="33">
        <f>VLOOKUP(Cavalado!$G$2,'uns dados aí'!$I$3:$K$22,2,FALSE)</f>
        <v>8</v>
      </c>
      <c r="F18" s="33">
        <f>IF(Tabela14[[#This Row],[Treinada?]]="sim",VLOOKUP(Cavalado!$G$2,'uns dados aí'!$E$2:$F$4,2,TRUE),"")</f>
        <v>4</v>
      </c>
      <c r="G18" s="33"/>
      <c r="H18" s="33"/>
      <c r="I18" s="33"/>
      <c r="J18" s="33">
        <f>SUM(Tabela14[[#This Row],[MOD]:[Bônus Habilidade]])-IF(Tabela14[[#This Row],[Penalidade de Armadura?]]="sim",Poderes!C14,0)</f>
        <v>12</v>
      </c>
      <c r="K18" s="33" t="s">
        <v>136</v>
      </c>
      <c r="L18" s="33" t="s">
        <v>135</v>
      </c>
      <c r="M18" s="44" t="s">
        <v>135</v>
      </c>
    </row>
    <row r="19" ht="14.25" spans="2:13">
      <c r="B19" s="30" t="s">
        <v>158</v>
      </c>
      <c r="C19" s="31" t="s">
        <v>138</v>
      </c>
      <c r="D19" s="31">
        <f>VLOOKUP(C19,Cavalado!$B$3:$D$8,3,FALSE)</f>
        <v>0</v>
      </c>
      <c r="E19" s="31">
        <f>VLOOKUP(Cavalado!$G$2,'uns dados aí'!$I$3:$K$22,2,FALSE)</f>
        <v>8</v>
      </c>
      <c r="F19" s="31" t="str">
        <f>IF(Tabela14[[#This Row],[Treinada?]]="sim",VLOOKUP(Cavalado!$G$2,'uns dados aí'!$E$2:$F$4,2,TRUE),"")</f>
        <v/>
      </c>
      <c r="G19" s="31"/>
      <c r="H19" s="31"/>
      <c r="I19" s="31"/>
      <c r="J19" s="31">
        <f>SUM(Tabela14[[#This Row],[MOD]:[Bônus Habilidade]])-IF(Tabela14[[#This Row],[Penalidade de Armadura?]]="sim",Poderes!C15,0)</f>
        <v>8</v>
      </c>
      <c r="K19" s="31" t="s">
        <v>134</v>
      </c>
      <c r="L19" s="31" t="s">
        <v>136</v>
      </c>
      <c r="M19" s="41" t="s">
        <v>135</v>
      </c>
    </row>
    <row r="20" ht="15" spans="2:13">
      <c r="B20" s="32" t="s">
        <v>159</v>
      </c>
      <c r="C20" s="33" t="s">
        <v>133</v>
      </c>
      <c r="D20" s="33">
        <f>VLOOKUP(C20,Cavalado!$B$3:$D$8,3,FALSE)</f>
        <v>2</v>
      </c>
      <c r="E20" s="33">
        <f>VLOOKUP(Cavalado!$G$2,'uns dados aí'!$I$3:$K$22,2,FALSE)</f>
        <v>8</v>
      </c>
      <c r="F20" s="33" t="str">
        <f>IF(Tabela14[[#This Row],[Treinada?]]="sim",VLOOKUP(Cavalado!$G$2,'uns dados aí'!$E$2:$F$4,2,TRUE),"")</f>
        <v/>
      </c>
      <c r="G20" s="33"/>
      <c r="H20" s="33"/>
      <c r="I20" s="33"/>
      <c r="J20" s="33">
        <f>SUM(Tabela14[[#This Row],[MOD]:[Bônus Habilidade]])-IF(Tabela14[[#This Row],[Penalidade de Armadura?]]="sim",Poderes!C16,0)</f>
        <v>10</v>
      </c>
      <c r="K20" s="33" t="s">
        <v>134</v>
      </c>
      <c r="L20" s="33" t="s">
        <v>136</v>
      </c>
      <c r="M20" s="44" t="s">
        <v>136</v>
      </c>
    </row>
    <row r="21" ht="14.25" spans="2:13">
      <c r="B21" s="30" t="s">
        <v>76</v>
      </c>
      <c r="C21" s="31" t="s">
        <v>140</v>
      </c>
      <c r="D21" s="31">
        <f>VLOOKUP(C21,Cavalado!$B$3:$D$8,3,FALSE)</f>
        <v>5</v>
      </c>
      <c r="E21" s="31">
        <f>VLOOKUP(Cavalado!$G$2,'uns dados aí'!$I$3:$K$22,2,FALSE)</f>
        <v>8</v>
      </c>
      <c r="F21" s="31">
        <f>IF(Tabela14[[#This Row],[Treinada?]]="sim",VLOOKUP(Cavalado!$G$2,'uns dados aí'!$E$2:$F$4,2,TRUE),"")</f>
        <v>4</v>
      </c>
      <c r="G21" s="31"/>
      <c r="H21" s="31"/>
      <c r="I21" s="31"/>
      <c r="J21" s="31">
        <f>SUM(Tabela14[[#This Row],[MOD]:[Bônus Habilidade]])-IF(Tabela14[[#This Row],[Penalidade de Armadura?]]="sim",Poderes!C17,0)</f>
        <v>17</v>
      </c>
      <c r="K21" s="31" t="s">
        <v>136</v>
      </c>
      <c r="L21" s="31" t="s">
        <v>135</v>
      </c>
      <c r="M21" s="41" t="s">
        <v>135</v>
      </c>
    </row>
    <row r="22" ht="15" spans="2:13">
      <c r="B22" s="32" t="s">
        <v>160</v>
      </c>
      <c r="C22" s="33" t="s">
        <v>145</v>
      </c>
      <c r="D22" s="33">
        <f>VLOOKUP(C22,Cavalado!$B$3:$D$8,3,FALSE)</f>
        <v>0</v>
      </c>
      <c r="E22" s="33">
        <f>VLOOKUP(Cavalado!$G$2,'uns dados aí'!$I$3:$K$22,2,FALSE)</f>
        <v>8</v>
      </c>
      <c r="F22" s="33">
        <f>IF(Tabela14[[#This Row],[Treinada?]]="sim",VLOOKUP(Cavalado!$G$2,'uns dados aí'!$E$2:$F$4,2,TRUE),"")</f>
        <v>4</v>
      </c>
      <c r="G22" s="33">
        <v>2</v>
      </c>
      <c r="H22" s="33"/>
      <c r="I22" s="33"/>
      <c r="J22" s="33">
        <f>SUM(Tabela14[[#This Row],[MOD]:[Bônus Habilidade]])-IF(Tabela14[[#This Row],[Penalidade de Armadura?]]="sim",Poderes!C18,0)</f>
        <v>14</v>
      </c>
      <c r="K22" s="33" t="s">
        <v>136</v>
      </c>
      <c r="L22" s="33" t="s">
        <v>136</v>
      </c>
      <c r="M22" s="44" t="s">
        <v>135</v>
      </c>
    </row>
    <row r="23" ht="14.25" spans="2:13">
      <c r="B23" s="30" t="s">
        <v>161</v>
      </c>
      <c r="C23" s="31" t="s">
        <v>145</v>
      </c>
      <c r="D23" s="31">
        <f>VLOOKUP(C23,Cavalado!$B$3:$D$8,3,FALSE)</f>
        <v>0</v>
      </c>
      <c r="E23" s="31">
        <f>VLOOKUP(Cavalado!$G$2,'uns dados aí'!$I$3:$K$22,2,FALSE)</f>
        <v>8</v>
      </c>
      <c r="F23" s="31" t="str">
        <f>IF(Tabela14[[#This Row],[Treinada?]]="sim",VLOOKUP(Cavalado!$G$2,'uns dados aí'!$E$2:$F$4,2,TRUE),"")</f>
        <v/>
      </c>
      <c r="G23" s="31"/>
      <c r="H23" s="31"/>
      <c r="I23" s="31"/>
      <c r="J23" s="31">
        <f>SUM(Tabela14[[#This Row],[MOD]:[Bônus Habilidade]])-IF(Tabela14[[#This Row],[Penalidade de Armadura?]]="sim",Poderes!C19,0)</f>
        <v>8</v>
      </c>
      <c r="K23" s="31" t="s">
        <v>134</v>
      </c>
      <c r="L23" s="31" t="s">
        <v>136</v>
      </c>
      <c r="M23" s="41" t="s">
        <v>135</v>
      </c>
    </row>
    <row r="24" ht="15" spans="2:13">
      <c r="B24" s="32" t="s">
        <v>162</v>
      </c>
      <c r="C24" s="33" t="s">
        <v>145</v>
      </c>
      <c r="D24" s="33">
        <f>VLOOKUP(C24,Cavalado!$B$3:$D$8,3,FALSE)</f>
        <v>0</v>
      </c>
      <c r="E24" s="33">
        <f>VLOOKUP(Cavalado!$G$2,'uns dados aí'!$I$3:$K$22,2,FALSE)</f>
        <v>8</v>
      </c>
      <c r="F24" s="33">
        <f>IF(Tabela14[[#This Row],[Treinada?]]="sim",VLOOKUP(Cavalado!$G$2,'uns dados aí'!$E$2:$F$4,2,TRUE),"")</f>
        <v>4</v>
      </c>
      <c r="G24" s="33"/>
      <c r="H24" s="33"/>
      <c r="I24" s="33"/>
      <c r="J24" s="33">
        <f>SUM(Tabela14[[#This Row],[MOD]:[Bônus Habilidade]])-IF(Tabela14[[#This Row],[Penalidade de Armadura?]]="sim",Poderes!C20,0)</f>
        <v>12</v>
      </c>
      <c r="K24" s="33" t="s">
        <v>136</v>
      </c>
      <c r="L24" s="33" t="s">
        <v>136</v>
      </c>
      <c r="M24" s="44" t="s">
        <v>135</v>
      </c>
    </row>
    <row r="25" ht="14.25" spans="2:13">
      <c r="B25" s="30" t="s">
        <v>163</v>
      </c>
      <c r="C25" s="31" t="s">
        <v>145</v>
      </c>
      <c r="D25" s="31">
        <f>VLOOKUP(C25,Cavalado!$B$3:$D$8,3,FALSE)</f>
        <v>0</v>
      </c>
      <c r="E25" s="31">
        <f>VLOOKUP(Cavalado!$G$2,'uns dados aí'!$I$3:$K$22,2,FALSE)</f>
        <v>8</v>
      </c>
      <c r="F25" s="31">
        <f>IF(Tabela14[[#This Row],[Treinada?]]="sim",VLOOKUP(Cavalado!$G$2,'uns dados aí'!$E$2:$F$4,2,TRUE),"")</f>
        <v>4</v>
      </c>
      <c r="G25" s="31"/>
      <c r="H25" s="31"/>
      <c r="I25" s="31"/>
      <c r="J25" s="31">
        <f>SUM(Tabela14[[#This Row],[MOD]:[Bônus Habilidade]])-IF(Tabela14[[#This Row],[Penalidade de Armadura?]]="sim",Poderes!C21,0)</f>
        <v>12</v>
      </c>
      <c r="K25" s="31" t="s">
        <v>136</v>
      </c>
      <c r="L25" s="31" t="s">
        <v>136</v>
      </c>
      <c r="M25" s="41" t="s">
        <v>135</v>
      </c>
    </row>
    <row r="26" ht="15" spans="2:13">
      <c r="B26" s="34" t="s">
        <v>164</v>
      </c>
      <c r="C26" s="33" t="s">
        <v>145</v>
      </c>
      <c r="D26" s="33">
        <f>VLOOKUP(C26,Cavalado!$B$3:$D$8,3,FALSE)</f>
        <v>0</v>
      </c>
      <c r="E26" s="33">
        <f>VLOOKUP(Cavalado!$G$2,'uns dados aí'!$I$3:$K$22,2,FALSE)</f>
        <v>8</v>
      </c>
      <c r="F26" s="33">
        <f>IF(Tabela14[[#This Row],[Treinada?]]="sim",VLOOKUP(Cavalado!$G$2,'uns dados aí'!$E$2:$F$4,2,TRUE),"")</f>
        <v>4</v>
      </c>
      <c r="G26" s="33"/>
      <c r="H26" s="33"/>
      <c r="I26" s="33"/>
      <c r="J26" s="33">
        <f>SUM(Tabela14[[#This Row],[MOD]:[Bônus Habilidade]])-IF(Tabela14[[#This Row],[Penalidade de Armadura?]]="sim",Poderes!C22,0)</f>
        <v>12</v>
      </c>
      <c r="K26" s="33" t="s">
        <v>136</v>
      </c>
      <c r="L26" s="33" t="s">
        <v>136</v>
      </c>
      <c r="M26" s="44" t="s">
        <v>135</v>
      </c>
    </row>
    <row r="27" ht="14.25" spans="2:13">
      <c r="B27" s="30" t="s">
        <v>165</v>
      </c>
      <c r="C27" s="31" t="s">
        <v>147</v>
      </c>
      <c r="D27" s="31">
        <f>VLOOKUP(C27,Cavalado!$B$3:$D$8,3,FALSE)</f>
        <v>0</v>
      </c>
      <c r="E27" s="31">
        <f>VLOOKUP(Cavalado!$G$2,'uns dados aí'!$I$3:$K$22,2,FALSE)</f>
        <v>8</v>
      </c>
      <c r="F27" s="31">
        <f>IF(Tabela14[[#This Row],[Treinada?]]="sim",VLOOKUP(Cavalado!$G$2,'uns dados aí'!$E$2:$F$4,2,TRUE),"")</f>
        <v>4</v>
      </c>
      <c r="G27" s="31">
        <v>2</v>
      </c>
      <c r="H27" s="31"/>
      <c r="I27" s="31"/>
      <c r="J27" s="31">
        <f>SUM(Tabela14[[#This Row],[MOD]:[Bônus Habilidade]])-IF(Tabela14[[#This Row],[Penalidade de Armadura?]]="sim",Cavalado!D40,0)</f>
        <v>14</v>
      </c>
      <c r="K27" s="31" t="s">
        <v>136</v>
      </c>
      <c r="L27" s="31" t="s">
        <v>135</v>
      </c>
      <c r="M27" s="41" t="s">
        <v>135</v>
      </c>
    </row>
    <row r="28" ht="15" spans="2:13">
      <c r="B28" s="32" t="s">
        <v>166</v>
      </c>
      <c r="C28" s="33" t="s">
        <v>133</v>
      </c>
      <c r="D28" s="33">
        <f>VLOOKUP(C28,Cavalado!$B$3:$D$8,3,FALSE)</f>
        <v>2</v>
      </c>
      <c r="E28" s="33">
        <f>VLOOKUP(Cavalado!$G$2,'uns dados aí'!$I$3:$K$22,2,FALSE)</f>
        <v>8</v>
      </c>
      <c r="F28" s="33" t="str">
        <f>IF(Tabela14[[#This Row],[Treinada?]]="sim",VLOOKUP(Cavalado!$G$2,'uns dados aí'!$E$2:$F$4,2,TRUE),"")</f>
        <v/>
      </c>
      <c r="G28" s="33"/>
      <c r="H28" s="33"/>
      <c r="I28" s="33"/>
      <c r="J28" s="33">
        <f>SUM(Tabela14[[#This Row],[MOD]:[Bônus Habilidade]])-IF(Tabela14[[#This Row],[Penalidade de Armadura?]]="sim",Poderes!K1,0)</f>
        <v>10</v>
      </c>
      <c r="K28" s="33" t="s">
        <v>134</v>
      </c>
      <c r="L28" s="33" t="s">
        <v>136</v>
      </c>
      <c r="M28" s="44" t="s">
        <v>135</v>
      </c>
    </row>
    <row r="29" ht="14.25" spans="2:13">
      <c r="B29" s="30" t="s">
        <v>167</v>
      </c>
      <c r="C29" s="31" t="s">
        <v>133</v>
      </c>
      <c r="D29" s="31">
        <f>VLOOKUP(C29,Cavalado!$B$3:$D$8,3,FALSE)</f>
        <v>2</v>
      </c>
      <c r="E29" s="31">
        <f>VLOOKUP(Cavalado!$G$2,'uns dados aí'!$I$3:$K$22,2,FALSE)</f>
        <v>8</v>
      </c>
      <c r="F29" s="31" t="str">
        <f>IF(Tabela14[[#This Row],[Treinada?]]="sim",VLOOKUP(Cavalado!$G$2,'uns dados aí'!$E$2:$F$4,2,TRUE),"")</f>
        <v/>
      </c>
      <c r="G29" s="31"/>
      <c r="H29" s="31"/>
      <c r="I29" s="31"/>
      <c r="J29" s="31">
        <f>SUM(Tabela14[[#This Row],[MOD]:[Bônus Habilidade]])-IF(Tabela14[[#This Row],[Penalidade de Armadura?]]="sim",Poderes!K2,0)</f>
        <v>10</v>
      </c>
      <c r="K29" s="31" t="s">
        <v>134</v>
      </c>
      <c r="L29" s="31" t="s">
        <v>135</v>
      </c>
      <c r="M29" s="41" t="s">
        <v>135</v>
      </c>
    </row>
    <row r="30" ht="15" spans="2:13">
      <c r="B30" s="32" t="s">
        <v>168</v>
      </c>
      <c r="C30" s="33" t="s">
        <v>133</v>
      </c>
      <c r="D30" s="33">
        <f>VLOOKUP(C30,Cavalado!$B$3:$D$8,3,FALSE)</f>
        <v>2</v>
      </c>
      <c r="E30" s="33">
        <f>VLOOKUP(Cavalado!$G$2,'uns dados aí'!$I$3:$K$22,2,FALSE)</f>
        <v>8</v>
      </c>
      <c r="F30" s="33">
        <f>IF(Tabela14[[#This Row],[Treinada?]]="sim",VLOOKUP(Cavalado!$G$2,'uns dados aí'!$E$2:$F$4,2,TRUE),"")</f>
        <v>4</v>
      </c>
      <c r="G30" s="33"/>
      <c r="H30" s="33"/>
      <c r="I30" s="33"/>
      <c r="J30" s="33">
        <f>SUM(Tabela14[[#This Row],[MOD]:[Bônus Habilidade]])-IF(Tabela14[[#This Row],[Penalidade de Armadura?]]="sim",Poderes!#REF!,0)</f>
        <v>14</v>
      </c>
      <c r="K30" s="33" t="s">
        <v>136</v>
      </c>
      <c r="L30" s="33" t="s">
        <v>135</v>
      </c>
      <c r="M30" s="44" t="s">
        <v>135</v>
      </c>
    </row>
    <row r="31" ht="14.25" spans="2:13">
      <c r="B31" s="30" t="s">
        <v>169</v>
      </c>
      <c r="C31" s="31" t="s">
        <v>147</v>
      </c>
      <c r="D31" s="31">
        <f>VLOOKUP(C31,Cavalado!$B$3:$D$8,3,FALSE)</f>
        <v>0</v>
      </c>
      <c r="E31" s="31">
        <f>VLOOKUP(Cavalado!$G$2,'uns dados aí'!$I$3:$K$22,2,FALSE)</f>
        <v>8</v>
      </c>
      <c r="F31" s="31">
        <f>IF(Tabela14[[#This Row],[Treinada?]]="sim",VLOOKUP(Cavalado!$G$2,'uns dados aí'!$E$2:$F$4,2,TRUE),"")</f>
        <v>4</v>
      </c>
      <c r="G31" s="31"/>
      <c r="H31" s="31"/>
      <c r="I31" s="31"/>
      <c r="J31" s="31">
        <f>SUM(Tabela14[[#This Row],[MOD]:[Bônus Habilidade]])-IF(Tabela14[[#This Row],[Penalidade de Armadura?]]="sim",Poderes!#REF!,0)</f>
        <v>12</v>
      </c>
      <c r="K31" s="31" t="s">
        <v>136</v>
      </c>
      <c r="L31" s="31" t="s">
        <v>136</v>
      </c>
      <c r="M31" s="41" t="s">
        <v>135</v>
      </c>
    </row>
    <row r="32" ht="15" spans="2:13">
      <c r="B32" s="32" t="s">
        <v>170</v>
      </c>
      <c r="C32" s="33" t="s">
        <v>147</v>
      </c>
      <c r="D32" s="33">
        <f>VLOOKUP(C32,Cavalado!$B$3:$D$8,3,FALSE)</f>
        <v>0</v>
      </c>
      <c r="E32" s="33">
        <f>VLOOKUP(Cavalado!$G$2,'uns dados aí'!$I$3:$K$22,2,FALSE)</f>
        <v>8</v>
      </c>
      <c r="F32" s="33" t="str">
        <f>IF(Tabela14[[#This Row],[Treinada?]]="sim",VLOOKUP(Cavalado!$G$2,'uns dados aí'!$E$2:$F$4,2,TRUE),"")</f>
        <v/>
      </c>
      <c r="G32" s="33"/>
      <c r="H32" s="33"/>
      <c r="I32" s="33"/>
      <c r="J32" s="33">
        <f>SUM(Tabela14[[#This Row],[MOD]:[Bônus Habilidade]])-IF(Tabela14[[#This Row],[Penalidade de Armadura?]]="sim",Poderes!#REF!,0)</f>
        <v>8</v>
      </c>
      <c r="K32" s="33" t="s">
        <v>134</v>
      </c>
      <c r="L32" s="33" t="s">
        <v>135</v>
      </c>
      <c r="M32" s="44" t="s">
        <v>135</v>
      </c>
    </row>
    <row r="33" ht="14.25" spans="2:13">
      <c r="B33" s="35" t="s">
        <v>171</v>
      </c>
      <c r="C33" s="36" t="s">
        <v>147</v>
      </c>
      <c r="D33" s="36">
        <f>VLOOKUP(C33,Cavalado!$B$3:$D$8,3,FALSE)</f>
        <v>0</v>
      </c>
      <c r="E33" s="36">
        <f>VLOOKUP(Cavalado!$G$2,'uns dados aí'!$I$3:$K$22,2,FALSE)</f>
        <v>8</v>
      </c>
      <c r="F33" s="36">
        <f>IF(Tabela14[[#This Row],[Treinada?]]="sim",VLOOKUP(Cavalado!$G$2,'uns dados aí'!$E$2:$F$4,2,TRUE),"")</f>
        <v>4</v>
      </c>
      <c r="G33" s="36"/>
      <c r="H33" s="36"/>
      <c r="I33" s="36"/>
      <c r="J33" s="36">
        <f>SUM(Tabela14[[#This Row],[MOD]:[Bônus Habilidade]])-IF(Tabela14[[#This Row],[Penalidade de Armadura?]]="sim",Poderes!#REF!,0)</f>
        <v>12</v>
      </c>
      <c r="K33" s="36" t="s">
        <v>136</v>
      </c>
      <c r="L33" s="36" t="s">
        <v>135</v>
      </c>
      <c r="M33" s="51" t="s">
        <v>135</v>
      </c>
    </row>
  </sheetData>
  <mergeCells count="2">
    <mergeCell ref="O2:P2"/>
    <mergeCell ref="O7:P7"/>
  </mergeCells>
  <pageMargins left="0.511811024" right="0.511811024" top="0.787401575" bottom="0.787401575" header="0.31496062" footer="0.31496062"/>
  <pageSetup paperSize="9" orientation="portrait"/>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23"/>
  <sheetViews>
    <sheetView zoomScale="115" zoomScaleNormal="115" topLeftCell="B1" workbookViewId="0">
      <selection activeCell="F16" sqref="F16"/>
    </sheetView>
  </sheetViews>
  <sheetFormatPr defaultColWidth="9" defaultRowHeight="13.5"/>
  <cols>
    <col min="2" max="3" width="10.25" customWidth="1"/>
    <col min="4" max="4" width="12.25" customWidth="1"/>
    <col min="8" max="8" width="20.25" customWidth="1"/>
    <col min="9" max="10" width="19.875" customWidth="1"/>
    <col min="11" max="11" width="17" customWidth="1"/>
  </cols>
  <sheetData>
    <row r="1" ht="14.25"/>
    <row r="2" ht="15.75" spans="2:14">
      <c r="B2" s="1" t="s">
        <v>172</v>
      </c>
      <c r="C2" s="2"/>
      <c r="E2" s="1">
        <v>1</v>
      </c>
      <c r="F2" s="2">
        <v>2</v>
      </c>
      <c r="H2" s="15" t="s">
        <v>173</v>
      </c>
      <c r="I2" s="21" t="s">
        <v>174</v>
      </c>
      <c r="J2" s="22" t="s">
        <v>126</v>
      </c>
      <c r="K2" s="2" t="s">
        <v>175</v>
      </c>
      <c r="M2" s="1" t="s">
        <v>176</v>
      </c>
      <c r="N2" s="2">
        <f>12+Cavalado!D5</f>
        <v>16</v>
      </c>
    </row>
    <row r="3" ht="14.25" spans="2:14">
      <c r="B3" s="3" t="s">
        <v>4</v>
      </c>
      <c r="C3" s="4">
        <v>16</v>
      </c>
      <c r="E3" s="3">
        <v>7</v>
      </c>
      <c r="F3" s="4">
        <v>4</v>
      </c>
      <c r="H3" s="3">
        <v>0</v>
      </c>
      <c r="I3" s="12">
        <v>1</v>
      </c>
      <c r="J3" s="23">
        <v>2</v>
      </c>
      <c r="K3" s="4">
        <f>ROUNDDOWN(I3/2,0)</f>
        <v>0</v>
      </c>
      <c r="M3" s="3" t="s">
        <v>177</v>
      </c>
      <c r="N3" s="4">
        <v>4</v>
      </c>
    </row>
    <row r="4" ht="15.75" spans="2:14">
      <c r="B4" s="5" t="s">
        <v>9</v>
      </c>
      <c r="C4" s="6">
        <v>14</v>
      </c>
      <c r="E4" s="7">
        <v>15</v>
      </c>
      <c r="F4" s="8">
        <v>6</v>
      </c>
      <c r="H4" s="16">
        <v>1000</v>
      </c>
      <c r="I4" s="24">
        <v>2</v>
      </c>
      <c r="J4" s="25">
        <f>I4+K4</f>
        <v>3</v>
      </c>
      <c r="K4" s="6">
        <f t="shared" ref="K4:K22" si="0">ROUNDDOWN(I4/2,0)</f>
        <v>1</v>
      </c>
      <c r="M4" s="7" t="s">
        <v>178</v>
      </c>
      <c r="N4" s="8">
        <v>1</v>
      </c>
    </row>
    <row r="5" ht="15" spans="2:11">
      <c r="B5" s="3" t="s">
        <v>10</v>
      </c>
      <c r="C5" s="4">
        <v>16</v>
      </c>
      <c r="H5" s="17">
        <v>3000</v>
      </c>
      <c r="I5" s="12">
        <v>3</v>
      </c>
      <c r="J5" s="23">
        <v>3</v>
      </c>
      <c r="K5" s="4">
        <f t="shared" si="0"/>
        <v>1</v>
      </c>
    </row>
    <row r="6" ht="15" spans="2:11">
      <c r="B6" s="5" t="s">
        <v>12</v>
      </c>
      <c r="C6" s="6">
        <v>10</v>
      </c>
      <c r="H6" s="16">
        <v>6000</v>
      </c>
      <c r="I6" s="24">
        <v>4</v>
      </c>
      <c r="J6" s="25">
        <v>4</v>
      </c>
      <c r="K6" s="6">
        <f t="shared" si="0"/>
        <v>2</v>
      </c>
    </row>
    <row r="7" ht="14.25" spans="2:11">
      <c r="B7" s="3" t="s">
        <v>14</v>
      </c>
      <c r="C7" s="4">
        <v>12</v>
      </c>
      <c r="H7" s="17">
        <v>10000</v>
      </c>
      <c r="I7" s="12">
        <v>5</v>
      </c>
      <c r="J7" s="23">
        <v>4</v>
      </c>
      <c r="K7" s="4">
        <f t="shared" si="0"/>
        <v>2</v>
      </c>
    </row>
    <row r="8" ht="15.75" spans="2:11">
      <c r="B8" s="7" t="s">
        <v>16</v>
      </c>
      <c r="C8" s="8">
        <v>10</v>
      </c>
      <c r="H8" s="16">
        <v>15000</v>
      </c>
      <c r="I8" s="24">
        <v>6</v>
      </c>
      <c r="J8" s="25">
        <v>5</v>
      </c>
      <c r="K8" s="6">
        <f t="shared" si="0"/>
        <v>3</v>
      </c>
    </row>
    <row r="9" ht="15" spans="8:11">
      <c r="H9" s="17">
        <v>21000</v>
      </c>
      <c r="I9" s="12">
        <v>7</v>
      </c>
      <c r="J9" s="23">
        <v>7</v>
      </c>
      <c r="K9" s="4">
        <f t="shared" si="0"/>
        <v>3</v>
      </c>
    </row>
    <row r="10" ht="15" spans="8:11">
      <c r="H10" s="16">
        <v>28000</v>
      </c>
      <c r="I10" s="24">
        <v>8</v>
      </c>
      <c r="J10" s="25">
        <v>8</v>
      </c>
      <c r="K10" s="6">
        <f t="shared" si="0"/>
        <v>4</v>
      </c>
    </row>
    <row r="11" ht="15" spans="8:11">
      <c r="H11" s="17">
        <v>36000</v>
      </c>
      <c r="I11" s="12">
        <v>9</v>
      </c>
      <c r="J11" s="23">
        <v>8</v>
      </c>
      <c r="K11" s="4">
        <f t="shared" si="0"/>
        <v>4</v>
      </c>
    </row>
    <row r="12" ht="15.75" spans="2:11">
      <c r="B12" s="1" t="s">
        <v>179</v>
      </c>
      <c r="C12" s="2">
        <f>3+Cavalado!D5</f>
        <v>7</v>
      </c>
      <c r="H12" s="16">
        <v>45000</v>
      </c>
      <c r="I12" s="24">
        <v>10</v>
      </c>
      <c r="J12" s="25">
        <v>9</v>
      </c>
      <c r="K12" s="6">
        <f t="shared" si="0"/>
        <v>5</v>
      </c>
    </row>
    <row r="13" ht="14.25" spans="2:11">
      <c r="B13" s="3" t="s">
        <v>180</v>
      </c>
      <c r="C13" s="4">
        <f>SUM(N3:N4)</f>
        <v>5</v>
      </c>
      <c r="H13" s="17">
        <v>55000</v>
      </c>
      <c r="I13" s="12">
        <v>11</v>
      </c>
      <c r="J13" s="23">
        <v>9</v>
      </c>
      <c r="K13" s="4">
        <f t="shared" si="0"/>
        <v>5</v>
      </c>
    </row>
    <row r="14" ht="15.75" spans="2:11">
      <c r="B14" s="7"/>
      <c r="C14" s="8"/>
      <c r="H14" s="16">
        <v>66000</v>
      </c>
      <c r="I14" s="24">
        <v>12</v>
      </c>
      <c r="J14" s="25">
        <v>10</v>
      </c>
      <c r="K14" s="6">
        <f t="shared" si="0"/>
        <v>6</v>
      </c>
    </row>
    <row r="15" ht="15.75" spans="8:11">
      <c r="H15" s="17">
        <v>78000</v>
      </c>
      <c r="I15" s="12">
        <v>13</v>
      </c>
      <c r="J15" s="23">
        <v>10</v>
      </c>
      <c r="K15" s="4">
        <f t="shared" si="0"/>
        <v>6</v>
      </c>
    </row>
    <row r="16" ht="15.75" spans="2:11">
      <c r="B16" s="9" t="s">
        <v>124</v>
      </c>
      <c r="C16" s="10" t="s">
        <v>181</v>
      </c>
      <c r="D16" s="10" t="s">
        <v>182</v>
      </c>
      <c r="E16" s="18" t="s">
        <v>75</v>
      </c>
      <c r="H16" s="16">
        <v>91000</v>
      </c>
      <c r="I16" s="24">
        <v>14</v>
      </c>
      <c r="J16" s="25">
        <v>11</v>
      </c>
      <c r="K16" s="6">
        <f t="shared" si="0"/>
        <v>7</v>
      </c>
    </row>
    <row r="17" ht="15" spans="2:11">
      <c r="B17" s="5" t="s">
        <v>4</v>
      </c>
      <c r="C17" s="11">
        <v>4</v>
      </c>
      <c r="D17" s="11"/>
      <c r="E17" s="6">
        <v>4</v>
      </c>
      <c r="H17" s="17">
        <v>105000</v>
      </c>
      <c r="I17" s="12">
        <v>15</v>
      </c>
      <c r="J17" s="23">
        <v>13</v>
      </c>
      <c r="K17" s="4">
        <f t="shared" si="0"/>
        <v>7</v>
      </c>
    </row>
    <row r="18" ht="15" spans="2:11">
      <c r="B18" s="3" t="s">
        <v>9</v>
      </c>
      <c r="C18" s="12">
        <v>0</v>
      </c>
      <c r="D18" s="12"/>
      <c r="E18" s="4">
        <f t="shared" ref="E18:E22" si="1">SUM(C18:D18)</f>
        <v>0</v>
      </c>
      <c r="H18" s="16">
        <v>120000</v>
      </c>
      <c r="I18" s="24">
        <v>16</v>
      </c>
      <c r="J18" s="25">
        <v>14</v>
      </c>
      <c r="K18" s="6">
        <f t="shared" si="0"/>
        <v>8</v>
      </c>
    </row>
    <row r="19" ht="15" spans="2:11">
      <c r="B19" s="5" t="s">
        <v>10</v>
      </c>
      <c r="C19" s="11">
        <v>2</v>
      </c>
      <c r="D19" s="11"/>
      <c r="E19" s="6">
        <f t="shared" si="1"/>
        <v>2</v>
      </c>
      <c r="H19" s="17">
        <v>136000</v>
      </c>
      <c r="I19" s="12">
        <v>17</v>
      </c>
      <c r="J19" s="23">
        <v>14</v>
      </c>
      <c r="K19" s="4">
        <f t="shared" si="0"/>
        <v>8</v>
      </c>
    </row>
    <row r="20" ht="15" spans="2:11">
      <c r="B20" s="3" t="s">
        <v>12</v>
      </c>
      <c r="C20" s="12">
        <v>0</v>
      </c>
      <c r="D20" s="12"/>
      <c r="E20" s="4">
        <f t="shared" si="1"/>
        <v>0</v>
      </c>
      <c r="H20" s="16">
        <v>153000</v>
      </c>
      <c r="I20" s="24">
        <v>18</v>
      </c>
      <c r="J20" s="25">
        <v>15</v>
      </c>
      <c r="K20" s="6">
        <f t="shared" si="0"/>
        <v>9</v>
      </c>
    </row>
    <row r="21" ht="15" spans="2:11">
      <c r="B21" s="5" t="s">
        <v>14</v>
      </c>
      <c r="C21" s="11">
        <v>-2</v>
      </c>
      <c r="D21" s="11"/>
      <c r="E21" s="6">
        <f t="shared" si="1"/>
        <v>-2</v>
      </c>
      <c r="H21" s="17">
        <v>171000</v>
      </c>
      <c r="I21" s="12">
        <v>19</v>
      </c>
      <c r="J21" s="23">
        <v>15</v>
      </c>
      <c r="K21" s="4">
        <f t="shared" si="0"/>
        <v>9</v>
      </c>
    </row>
    <row r="22" ht="15.75" spans="2:11">
      <c r="B22" s="13" t="s">
        <v>16</v>
      </c>
      <c r="C22" s="14">
        <v>0</v>
      </c>
      <c r="D22" s="14"/>
      <c r="E22" s="19">
        <f t="shared" si="1"/>
        <v>0</v>
      </c>
      <c r="H22" s="20">
        <v>190000</v>
      </c>
      <c r="I22" s="26">
        <v>20</v>
      </c>
      <c r="J22" s="27">
        <v>16</v>
      </c>
      <c r="K22" s="8">
        <f t="shared" si="0"/>
        <v>10</v>
      </c>
    </row>
    <row r="23" ht="14.25"/>
  </sheetData>
  <mergeCells count="1">
    <mergeCell ref="B2:C2"/>
  </mergeCells>
  <pageMargins left="0.511811024" right="0.511811024" top="0.787401575" bottom="0.787401575" header="0.31496062" footer="0.31496062"/>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9">
    <comment s:ref="D5" rgbClr="217AA0"/>
    <comment s:ref="D6" rgbClr="E3E4E0"/>
    <comment s:ref="D7" rgbClr="77DE00"/>
    <comment s:ref="D9" rgbClr="BDBBC0"/>
  </commentList>
  <commentList sheetStid="6"/>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Cavalado</vt:lpstr>
      <vt:lpstr>Poderes</vt:lpstr>
      <vt:lpstr>Testes</vt:lpstr>
      <vt:lpstr>Livro de Fórmulas</vt:lpstr>
      <vt:lpstr>Inventário</vt:lpstr>
      <vt:lpstr>Perícias</vt:lpstr>
      <vt:lpstr>Perícias (Cópia)</vt:lpstr>
      <vt:lpstr>uns dados aí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Luciano Segundo</dc:creator>
  <cp:lastModifiedBy>dopanime</cp:lastModifiedBy>
  <dcterms:created xsi:type="dcterms:W3CDTF">2024-07-24T11:21:00Z</dcterms:created>
  <dcterms:modified xsi:type="dcterms:W3CDTF">2026-10-10T13:33:44Z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1046-11.1.0.11723</vt:lpwstr>
  </property>
</Properties>
</file>